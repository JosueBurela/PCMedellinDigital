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 Semanal (500 hrs)" sheetId="1" state="visible" r:id="rId1"/>
    <sheet name="Bitácora Diaria Detallada" sheetId="2" state="visible" r:id="rId2"/>
    <sheet name="Justificación Modalidad Remota" sheetId="3" state="visible" r:id="rId3"/>
    <sheet name="Resumen Mensual" sheetId="4" state="visible" r:id="rId4"/>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quot;hrs&quot;"/>
    <numFmt numFmtId="167" formatCode="yyyy-mm-dd"/>
    <numFmt numFmtId="168" formatCode="DD/MM/YYYY"/>
  </numFmts>
  <fonts count="27">
    <font>
      <name val="Calibri"/>
      <family val="2"/>
      <color theme="1"/>
      <sz val="11"/>
      <scheme val="minor"/>
    </font>
    <font>
      <name val="Segoe UI"/>
      <b val="1"/>
      <color rgb="00FFFFFF"/>
      <sz val="13.5"/>
    </font>
    <font>
      <name val="Segoe UI"/>
      <i val="1"/>
      <color rgb="00E2E8F0"/>
      <sz val="9.5"/>
    </font>
    <font>
      <name val="Segoe UI"/>
      <b val="1"/>
      <color rgb="00FFFFFF"/>
      <sz val="9"/>
    </font>
    <font>
      <name val="Segoe UI"/>
      <b val="1"/>
      <color rgb="001A202C"/>
      <sz val="8.5"/>
    </font>
    <font>
      <name val="Segoe UI"/>
      <color rgb="001A202C"/>
      <sz val="8.5"/>
    </font>
    <font>
      <name val="Segoe UI"/>
      <b val="1"/>
      <color rgb="001A365D"/>
      <sz val="10"/>
    </font>
    <font>
      <name val="Segoe UI"/>
      <b val="1"/>
      <color rgb="0022543D"/>
      <sz val="11"/>
    </font>
    <font>
      <name val="Segoe UI"/>
      <b val="1"/>
      <color rgb="009C4221"/>
      <sz val="10"/>
    </font>
    <font>
      <name val="Segoe UI"/>
      <b val="1"/>
      <color rgb="002B6CB0"/>
      <sz val="10"/>
    </font>
    <font>
      <name val="Segoe UI"/>
      <b val="1"/>
      <color rgb="00FFFFFF"/>
      <sz val="8.5"/>
    </font>
    <font>
      <name val="Segoe UI"/>
      <b val="1"/>
      <color rgb="001A365D"/>
      <sz val="8.5"/>
    </font>
    <font>
      <name val="Segoe UI"/>
      <b val="1"/>
      <color rgb="002B4C7E"/>
      <sz val="8"/>
    </font>
    <font>
      <name val="Segoe UI"/>
      <b val="1"/>
      <color rgb="009C4221"/>
      <sz val="8.5"/>
    </font>
    <font>
      <name val="Segoe UI"/>
      <b val="1"/>
      <color rgb="00234E52"/>
      <sz val="8.5"/>
    </font>
    <font>
      <name val="Segoe UI"/>
      <b val="1"/>
      <color rgb="001A365D"/>
      <sz val="9"/>
    </font>
    <font>
      <name val="Segoe UI"/>
      <b val="1"/>
      <color rgb="002B6CB0"/>
      <sz val="9"/>
    </font>
    <font>
      <name val="Segoe UI"/>
      <color rgb="001A202C"/>
      <sz val="8"/>
    </font>
    <font>
      <name val="Segoe UI"/>
      <b val="1"/>
      <color rgb="0022543D"/>
      <sz val="8"/>
    </font>
    <font>
      <name val="Segoe UI"/>
      <i val="1"/>
      <color rgb="002B4C7E"/>
      <sz val="8"/>
    </font>
    <font>
      <name val="Segoe UI"/>
      <b val="1"/>
      <color rgb="00FFFFFF"/>
      <sz val="9.5"/>
    </font>
    <font>
      <name val="Segoe UI"/>
      <b val="1"/>
      <color rgb="00FFFFFF"/>
      <sz val="10"/>
    </font>
    <font>
      <name val="Segoe UI"/>
      <b val="1"/>
      <color rgb="00FFFFFF"/>
      <sz val="11"/>
    </font>
    <font>
      <name val="Segoe UI"/>
      <b val="1"/>
      <color rgb="0022543D"/>
      <sz val="9"/>
    </font>
    <font>
      <name val="Segoe UI"/>
      <color rgb="00718096"/>
      <sz val="8.5"/>
    </font>
    <font>
      <name val="Segoe UI"/>
      <color rgb="004A5568"/>
      <sz val="8.5"/>
    </font>
    <font>
      <name val="Segoe UI"/>
      <b val="1"/>
      <color rgb="00FFFFFF"/>
      <sz val="13"/>
    </font>
  </fonts>
  <fills count="15">
    <fill>
      <patternFill/>
    </fill>
    <fill>
      <patternFill patternType="gray125"/>
    </fill>
    <fill>
      <patternFill patternType="solid">
        <fgColor rgb="001A365D"/>
        <bgColor rgb="001A365D"/>
      </patternFill>
    </fill>
    <fill>
      <patternFill patternType="solid">
        <fgColor rgb="002B4C7E"/>
        <bgColor rgb="002B4C7E"/>
      </patternFill>
    </fill>
    <fill>
      <patternFill patternType="solid">
        <fgColor rgb="00EDF2F7"/>
        <bgColor rgb="00EDF2F7"/>
      </patternFill>
    </fill>
    <fill>
      <patternFill patternType="solid">
        <fgColor rgb="00FFFFFF"/>
        <bgColor rgb="00FFFFFF"/>
      </patternFill>
    </fill>
    <fill>
      <patternFill patternType="solid">
        <fgColor rgb="00EBF4FF"/>
        <bgColor rgb="00EBF4FF"/>
      </patternFill>
    </fill>
    <fill>
      <patternFill patternType="solid">
        <fgColor rgb="00F0FFF4"/>
        <bgColor rgb="00F0FFF4"/>
      </patternFill>
    </fill>
    <fill>
      <patternFill patternType="solid">
        <fgColor rgb="00FEEBC8"/>
        <bgColor rgb="00FEEBC8"/>
      </patternFill>
    </fill>
    <fill>
      <patternFill patternType="solid">
        <fgColor rgb="00F7FAFC"/>
        <bgColor rgb="00F7FAFC"/>
      </patternFill>
    </fill>
    <fill>
      <patternFill patternType="solid">
        <fgColor rgb="00E6FFFA"/>
        <bgColor rgb="00E6FFFA"/>
      </patternFill>
    </fill>
    <fill>
      <patternFill patternType="solid">
        <fgColor rgb="009C4221"/>
        <bgColor rgb="009C4221"/>
      </patternFill>
    </fill>
    <fill>
      <patternFill patternType="solid">
        <fgColor rgb="00234E52"/>
        <bgColor rgb="00234E52"/>
      </patternFill>
    </fill>
    <fill>
      <patternFill patternType="solid">
        <fgColor rgb="002B6CB0"/>
        <bgColor rgb="002B6CB0"/>
      </patternFill>
    </fill>
    <fill>
      <patternFill patternType="solid">
        <fgColor rgb="0022543D"/>
        <bgColor rgb="0022543D"/>
      </patternFill>
    </fill>
  </fills>
  <borders count="4">
    <border>
      <left/>
      <right/>
      <top/>
      <bottom/>
      <diagonal/>
    </border>
    <border>
      <left style="thin">
        <color rgb="00CBD5E0"/>
      </left>
      <right style="thin">
        <color rgb="00CBD5E0"/>
      </right>
      <top style="thin">
        <color rgb="00CBD5E0"/>
      </top>
      <bottom style="thin">
        <color rgb="00CBD5E0"/>
      </bottom>
    </border>
    <border>
      <left style="thin">
        <color rgb="003182CE"/>
      </left>
      <right style="thin">
        <color rgb="003182CE"/>
      </right>
      <top style="thin">
        <color rgb="003182CE"/>
      </top>
      <bottom style="thin">
        <color rgb="003182CE"/>
      </bottom>
    </border>
    <border>
      <left style="thin">
        <color rgb="00CBD5E0"/>
      </left>
      <right style="thin">
        <color rgb="00CBD5E0"/>
      </right>
      <top style="thin">
        <color rgb="00CBD5E0"/>
      </top>
      <bottom style="double">
        <color rgb="001A365D"/>
      </bottom>
    </border>
  </borders>
  <cellStyleXfs count="1">
    <xf numFmtId="0" fontId="0" fillId="0" borderId="0"/>
  </cellStyleXfs>
  <cellXfs count="7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left" vertical="center" indent="1"/>
    </xf>
    <xf numFmtId="0" fontId="3" fillId="3" borderId="0" applyAlignment="1" pivotButton="0" quotePrefix="0" xfId="0">
      <alignment horizontal="center" vertical="center"/>
    </xf>
    <xf numFmtId="0" fontId="4" fillId="4" borderId="1" applyAlignment="1" pivotButton="0" quotePrefix="0" xfId="0">
      <alignment horizontal="left" vertical="center"/>
    </xf>
    <xf numFmtId="0" fontId="5" fillId="5" borderId="1" applyAlignment="1" pivotButton="0" quotePrefix="0" xfId="0">
      <alignment horizontal="left" vertical="center" indent="1"/>
    </xf>
    <xf numFmtId="0" fontId="0" fillId="5" borderId="1" pivotButton="0" quotePrefix="0" xfId="0"/>
    <xf numFmtId="0" fontId="4" fillId="6" borderId="1" applyAlignment="1" pivotButton="0" quotePrefix="0" xfId="0">
      <alignment horizontal="left" vertical="center" indent="1"/>
    </xf>
    <xf numFmtId="0" fontId="0" fillId="6" borderId="1" pivotButton="0" quotePrefix="0" xfId="0"/>
    <xf numFmtId="164" fontId="6" fillId="5" borderId="1" applyAlignment="1" pivotButton="0" quotePrefix="0" xfId="0">
      <alignment horizontal="center" vertical="center"/>
    </xf>
    <xf numFmtId="0" fontId="4" fillId="7" borderId="1" applyAlignment="1" pivotButton="0" quotePrefix="0" xfId="0">
      <alignment horizontal="left" vertical="center" indent="1"/>
    </xf>
    <xf numFmtId="0" fontId="0" fillId="7" borderId="1" pivotButton="0" quotePrefix="0" xfId="0"/>
    <xf numFmtId="164" fontId="7" fillId="7" borderId="1" applyAlignment="1" pivotButton="0" quotePrefix="0" xfId="0">
      <alignment horizontal="center" vertical="center"/>
    </xf>
    <xf numFmtId="0" fontId="0" fillId="7" borderId="0" pivotButton="0" quotePrefix="0" xfId="0"/>
    <xf numFmtId="0" fontId="4" fillId="8" borderId="1" applyAlignment="1" pivotButton="0" quotePrefix="0" xfId="0">
      <alignment horizontal="left" vertical="center" indent="1"/>
    </xf>
    <xf numFmtId="0" fontId="0" fillId="8" borderId="1" pivotButton="0" quotePrefix="0" xfId="0"/>
    <xf numFmtId="164" fontId="8" fillId="5" borderId="1" applyAlignment="1" pivotButton="0" quotePrefix="0" xfId="0">
      <alignment horizontal="center" vertical="center"/>
    </xf>
    <xf numFmtId="164" fontId="9" fillId="5" borderId="1" applyAlignment="1" pivotButton="0" quotePrefix="0" xfId="0">
      <alignment horizontal="center" vertical="center"/>
    </xf>
    <xf numFmtId="165" fontId="7" fillId="7" borderId="1" applyAlignment="1" pivotButton="0" quotePrefix="0" xfId="0">
      <alignment horizontal="center" vertical="center"/>
    </xf>
    <xf numFmtId="0" fontId="10" fillId="2" borderId="2" applyAlignment="1" pivotButton="0" quotePrefix="0" xfId="0">
      <alignment horizontal="center" vertical="center" wrapText="1"/>
    </xf>
    <xf numFmtId="0" fontId="11" fillId="9" borderId="1" applyAlignment="1" pivotButton="0" quotePrefix="0" xfId="0">
      <alignment horizontal="center" vertical="center"/>
    </xf>
    <xf numFmtId="0" fontId="5" fillId="9" borderId="1" applyAlignment="1" pivotButton="0" quotePrefix="0" xfId="0">
      <alignment horizontal="center" vertical="center"/>
    </xf>
    <xf numFmtId="0" fontId="12" fillId="9" borderId="1" applyAlignment="1" pivotButton="0" quotePrefix="0" xfId="0">
      <alignment horizontal="left" vertical="center" indent="1"/>
    </xf>
    <xf numFmtId="164" fontId="13" fillId="8" borderId="1" applyAlignment="1" pivotButton="0" quotePrefix="0" xfId="0">
      <alignment horizontal="center" vertical="center"/>
    </xf>
    <xf numFmtId="164" fontId="14" fillId="10" borderId="1" applyAlignment="1" pivotButton="0" quotePrefix="0" xfId="0">
      <alignment horizontal="center" vertical="center"/>
    </xf>
    <xf numFmtId="164" fontId="15" fillId="9" borderId="1" applyAlignment="1" pivotButton="0" quotePrefix="0" xfId="0">
      <alignment horizontal="center" vertical="center"/>
    </xf>
    <xf numFmtId="164" fontId="16" fillId="9" borderId="1" applyAlignment="1" pivotButton="0" quotePrefix="0" xfId="0">
      <alignment horizontal="center" vertical="center"/>
    </xf>
    <xf numFmtId="165" fontId="5" fillId="9" borderId="1" applyAlignment="1" pivotButton="0" quotePrefix="0" xfId="0">
      <alignment horizontal="center" vertical="center"/>
    </xf>
    <xf numFmtId="0" fontId="17" fillId="9" borderId="1" applyAlignment="1" pivotButton="0" quotePrefix="0" xfId="0">
      <alignment horizontal="left" vertical="center" wrapText="1"/>
    </xf>
    <xf numFmtId="0" fontId="18" fillId="7" borderId="1" applyAlignment="1" pivotButton="0" quotePrefix="0" xfId="0">
      <alignment horizontal="center" vertical="center"/>
    </xf>
    <xf numFmtId="0" fontId="11" fillId="5" borderId="1" applyAlignment="1" pivotButton="0" quotePrefix="0" xfId="0">
      <alignment horizontal="center" vertical="center"/>
    </xf>
    <xf numFmtId="0" fontId="5" fillId="5" borderId="1" applyAlignment="1" pivotButton="0" quotePrefix="0" xfId="0">
      <alignment horizontal="center" vertical="center"/>
    </xf>
    <xf numFmtId="0" fontId="12" fillId="5" borderId="1" applyAlignment="1" pivotButton="0" quotePrefix="0" xfId="0">
      <alignment horizontal="left" vertical="center" indent="1"/>
    </xf>
    <xf numFmtId="164" fontId="15" fillId="5" borderId="1" applyAlignment="1" pivotButton="0" quotePrefix="0" xfId="0">
      <alignment horizontal="center" vertical="center"/>
    </xf>
    <xf numFmtId="164" fontId="16" fillId="5" borderId="1" applyAlignment="1" pivotButton="0" quotePrefix="0" xfId="0">
      <alignment horizontal="center" vertical="center"/>
    </xf>
    <xf numFmtId="165" fontId="5" fillId="5" borderId="1" applyAlignment="1" pivotButton="0" quotePrefix="0" xfId="0">
      <alignment horizontal="center" vertical="center"/>
    </xf>
    <xf numFmtId="0" fontId="17" fillId="5" borderId="1" applyAlignment="1" pivotButton="0" quotePrefix="0" xfId="0">
      <alignment horizontal="left" vertical="center" wrapText="1"/>
    </xf>
    <xf numFmtId="0" fontId="19" fillId="6" borderId="1" applyAlignment="1" pivotButton="0" quotePrefix="0" xfId="0">
      <alignment horizontal="center" vertical="center"/>
    </xf>
    <xf numFmtId="164" fontId="13" fillId="9" borderId="1" applyAlignment="1" pivotButton="0" quotePrefix="0" xfId="0">
      <alignment horizontal="center" vertical="center"/>
    </xf>
    <xf numFmtId="164" fontId="14" fillId="9" borderId="1" applyAlignment="1" pivotButton="0" quotePrefix="0" xfId="0">
      <alignment horizontal="center" vertical="center"/>
    </xf>
    <xf numFmtId="0" fontId="20" fillId="2" borderId="3" applyAlignment="1" pivotButton="0" quotePrefix="0" xfId="0">
      <alignment horizontal="right" vertical="center" indent="1"/>
    </xf>
    <xf numFmtId="0" fontId="0" fillId="2" borderId="3" pivotButton="0" quotePrefix="0" xfId="0"/>
    <xf numFmtId="166" fontId="21" fillId="11" borderId="3" applyAlignment="1" pivotButton="0" quotePrefix="0" xfId="0">
      <alignment horizontal="center" vertical="center"/>
    </xf>
    <xf numFmtId="166" fontId="21" fillId="12" borderId="3" applyAlignment="1" pivotButton="0" quotePrefix="0" xfId="0">
      <alignment horizontal="center" vertical="center"/>
    </xf>
    <xf numFmtId="166" fontId="22" fillId="13" borderId="3" applyAlignment="1" pivotButton="0" quotePrefix="0" xfId="0">
      <alignment horizontal="center" vertical="center"/>
    </xf>
    <xf numFmtId="166" fontId="21" fillId="3" borderId="3" applyAlignment="1" pivotButton="0" quotePrefix="0" xfId="0">
      <alignment horizontal="center" vertical="center"/>
    </xf>
    <xf numFmtId="165" fontId="21" fillId="14" borderId="3" applyAlignment="1" pivotButton="0" quotePrefix="0" xfId="0">
      <alignment horizontal="center" vertical="center"/>
    </xf>
    <xf numFmtId="0" fontId="23" fillId="7" borderId="3" applyAlignment="1" pivotButton="0" quotePrefix="0" xfId="0">
      <alignment horizontal="center" vertical="center"/>
    </xf>
    <xf numFmtId="0" fontId="0" fillId="7" borderId="3" pivotButton="0" quotePrefix="0" xfId="0"/>
    <xf numFmtId="0" fontId="10" fillId="2" borderId="2" applyAlignment="1" pivotButton="0" quotePrefix="0" xfId="0">
      <alignment horizontal="center" vertical="center"/>
    </xf>
    <xf numFmtId="0" fontId="24" fillId="5" borderId="1" applyAlignment="1" pivotButton="0" quotePrefix="0" xfId="0">
      <alignment horizontal="center" vertical="center"/>
    </xf>
    <xf numFmtId="168" fontId="5" fillId="5" borderId="1" applyAlignment="1" pivotButton="0" quotePrefix="0" xfId="0">
      <alignment horizontal="center" vertical="center"/>
    </xf>
    <xf numFmtId="0" fontId="25" fillId="5" borderId="1" applyAlignment="1" pivotButton="0" quotePrefix="0" xfId="0">
      <alignment horizontal="center" vertical="center"/>
    </xf>
    <xf numFmtId="0" fontId="13" fillId="8" borderId="1" applyAlignment="1" pivotButton="0" quotePrefix="0" xfId="0">
      <alignment horizontal="center" vertical="center"/>
    </xf>
    <xf numFmtId="0" fontId="5" fillId="5" borderId="1" applyAlignment="1" pivotButton="0" quotePrefix="0" xfId="0">
      <alignment horizontal="left" vertical="center"/>
    </xf>
    <xf numFmtId="0" fontId="24" fillId="9" borderId="1" applyAlignment="1" pivotButton="0" quotePrefix="0" xfId="0">
      <alignment horizontal="center" vertical="center"/>
    </xf>
    <xf numFmtId="168" fontId="5" fillId="9" borderId="1" applyAlignment="1" pivotButton="0" quotePrefix="0" xfId="0">
      <alignment horizontal="center" vertical="center"/>
    </xf>
    <xf numFmtId="0" fontId="25" fillId="9" borderId="1" applyAlignment="1" pivotButton="0" quotePrefix="0" xfId="0">
      <alignment horizontal="center" vertical="center"/>
    </xf>
    <xf numFmtId="0" fontId="14" fillId="10" borderId="1" applyAlignment="1" pivotButton="0" quotePrefix="0" xfId="0">
      <alignment horizontal="center" vertical="center"/>
    </xf>
    <xf numFmtId="0" fontId="5" fillId="9" borderId="1" applyAlignment="1" pivotButton="0" quotePrefix="0" xfId="0">
      <alignment horizontal="left" vertical="center"/>
    </xf>
    <xf numFmtId="0" fontId="0" fillId="4" borderId="3" pivotButton="0" quotePrefix="0" xfId="0"/>
    <xf numFmtId="0" fontId="26" fillId="2" borderId="0" applyAlignment="1" pivotButton="0" quotePrefix="0" xfId="0">
      <alignment horizontal="center" vertical="center"/>
    </xf>
    <xf numFmtId="0" fontId="20" fillId="3" borderId="1" applyAlignment="1" pivotButton="0" quotePrefix="0" xfId="0">
      <alignment horizontal="left" vertical="center" indent="1"/>
    </xf>
    <xf numFmtId="0" fontId="0" fillId="3" borderId="1" pivotButton="0" quotePrefix="0" xfId="0"/>
    <xf numFmtId="0" fontId="15" fillId="4" borderId="1" applyAlignment="1" pivotButton="0" quotePrefix="0" xfId="0">
      <alignment horizontal="center" vertical="top"/>
    </xf>
    <xf numFmtId="0" fontId="4" fillId="4" borderId="1" applyAlignment="1" pivotButton="0" quotePrefix="0" xfId="0">
      <alignment horizontal="left" vertical="top"/>
    </xf>
    <xf numFmtId="0" fontId="5" fillId="5" borderId="1" applyAlignment="1" pivotButton="0" quotePrefix="0" xfId="0">
      <alignment horizontal="left"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10" fillId="3" borderId="1" applyAlignment="1" pivotButton="0" quotePrefix="0" xfId="0">
      <alignment horizontal="center" vertical="center"/>
    </xf>
    <xf numFmtId="0" fontId="4" fillId="5" borderId="1" applyAlignment="1" pivotButton="0" quotePrefix="0" xfId="0">
      <alignment horizontal="left" vertical="center" indent="1"/>
    </xf>
    <xf numFmtId="0" fontId="4" fillId="9" borderId="1" applyAlignment="1" pivotButton="0" quotePrefix="0" xfId="0">
      <alignment horizontal="left" vertical="center" indent="1"/>
    </xf>
    <xf numFmtId="0" fontId="20" fillId="3" borderId="3" applyAlignment="1" pivotButton="0" quotePrefix="0" xfId="0">
      <alignment horizontal="right" vertical="center" indent="1"/>
    </xf>
    <xf numFmtId="0" fontId="0" fillId="3" borderId="3" pivotButton="0" quotePrefix="0" xfId="0"/>
    <xf numFmtId="164" fontId="21" fillId="11" borderId="3" applyAlignment="1" pivotButton="0" quotePrefix="0" xfId="0">
      <alignment horizontal="center" vertical="center"/>
    </xf>
    <xf numFmtId="164" fontId="21" fillId="12" borderId="3" applyAlignment="1" pivotButton="0" quotePrefix="0" xfId="0">
      <alignment horizontal="center" vertical="center"/>
    </xf>
    <xf numFmtId="164" fontId="21" fillId="13"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
  <sheetViews>
    <sheetView showGridLines="1" workbookViewId="0">
      <selection activeCell="A1" sqref="A1"/>
    </sheetView>
  </sheetViews>
  <sheetFormatPr baseColWidth="8" defaultRowHeight="15"/>
  <cols>
    <col width="11" customWidth="1" min="1" max="1"/>
    <col width="23" customWidth="1" min="2" max="2"/>
    <col width="26" customWidth="1" min="3" max="3"/>
    <col width="15" customWidth="1" min="4" max="4"/>
    <col width="15" customWidth="1" min="5" max="5"/>
    <col width="12" customWidth="1" min="6" max="6"/>
    <col width="13" customWidth="1" min="7" max="7"/>
    <col width="11" customWidth="1" min="8" max="8"/>
    <col width="38" customWidth="1" min="9" max="9"/>
    <col width="44" customWidth="1" min="10" max="10"/>
    <col width="18" customWidth="1" min="11" max="11"/>
  </cols>
  <sheetData>
    <row r="1" ht="32" customHeight="1">
      <c r="A1" s="1" t="inlineStr">
        <is>
          <t>DIRECCIÓN DE PROTECCIÓN CIVIL MEDELLÍN DE BRAVO • CONTROL DE SERVICIO SOCIAL</t>
        </is>
      </c>
    </row>
    <row r="2" ht="20" customHeight="1">
      <c r="A2" s="2" t="inlineStr">
        <is>
          <t>Ingeniería en Sistemas Computacionales • Sistema Digital de Gestión Operativa, Trámites y Cloud en DigitalOcean • Período 2026 - 2027</t>
        </is>
      </c>
    </row>
    <row r="4">
      <c r="A4" s="3" t="inlineStr">
        <is>
          <t>DATOS DEL PRESTADOR Y DEL PROYECTO</t>
        </is>
      </c>
      <c r="G4" s="4" t="inlineStr">
        <is>
          <t>ESTADO DE CUMPLIMIENTO (CORTE AL 11/SEP/2026 • META: 500 HRS)</t>
        </is>
      </c>
    </row>
    <row r="5" ht="21" customHeight="1">
      <c r="A5" s="5" t="inlineStr">
        <is>
          <t>Nombre del Prestador:</t>
        </is>
      </c>
      <c r="B5" s="6" t="inlineStr">
        <is>
          <t>Josue Burela</t>
        </is>
      </c>
      <c r="C5" s="7" t="n"/>
      <c r="D5" s="7" t="n"/>
      <c r="E5" s="7" t="n"/>
      <c r="G5" s="8" t="inlineStr">
        <is>
          <t>Meta Total de Horas:</t>
        </is>
      </c>
      <c r="H5" s="9" t="n"/>
      <c r="I5" s="9" t="n"/>
      <c r="J5" s="10" t="n">
        <v>500</v>
      </c>
    </row>
    <row r="6" ht="21" customHeight="1">
      <c r="A6" s="5" t="inlineStr">
        <is>
          <t>Carrera / Especialidad:</t>
        </is>
      </c>
      <c r="B6" s="6" t="inlineStr">
        <is>
          <t>Ingeniería en Sistemas Computacionales</t>
        </is>
      </c>
      <c r="C6" s="7" t="n"/>
      <c r="D6" s="7" t="n"/>
      <c r="E6" s="7" t="n"/>
      <c r="G6" s="11" t="inlineStr">
        <is>
          <t>Horas Ejecutadas (al 11/Sep/2026):</t>
        </is>
      </c>
      <c r="H6" s="12" t="n"/>
      <c r="I6" s="12" t="n"/>
      <c r="J6" s="13">
        <f>G21</f>
        <v/>
      </c>
      <c r="K6" s="14" t="n"/>
    </row>
    <row r="7" ht="21" customHeight="1">
      <c r="A7" s="5" t="inlineStr">
        <is>
          <t>Dependencia Asignada:</t>
        </is>
      </c>
      <c r="B7" s="6" t="inlineStr">
        <is>
          <t>Dirección de Protección Civil Medellín de Bravo</t>
        </is>
      </c>
      <c r="C7" s="7" t="n"/>
      <c r="D7" s="7" t="n"/>
      <c r="E7" s="7" t="n"/>
      <c r="G7" s="15" t="inlineStr">
        <is>
          <t>Horas Programadas Restantes:</t>
        </is>
      </c>
      <c r="H7" s="16" t="n"/>
      <c r="I7" s="16" t="n"/>
      <c r="J7" s="17">
        <f>J5-J6</f>
        <v/>
      </c>
    </row>
    <row r="8" ht="21" customHeight="1">
      <c r="A8" s="5" t="inlineStr">
        <is>
          <t>Titular de Dependencia:</t>
        </is>
      </c>
      <c r="B8" s="6" t="inlineStr">
        <is>
          <t>C. Daniel Eduardo Romero Pilar (Director de Protección Civil)</t>
        </is>
      </c>
      <c r="C8" s="7" t="n"/>
      <c r="D8" s="7" t="n"/>
      <c r="E8" s="7" t="n"/>
      <c r="G8" s="8" t="inlineStr">
        <is>
          <t>Total Horas Acumuladas del Plan:</t>
        </is>
      </c>
      <c r="H8" s="9" t="n"/>
      <c r="I8" s="9" t="n"/>
      <c r="J8" s="18">
        <f>SUM(F12:F39)</f>
        <v/>
      </c>
    </row>
    <row r="9" ht="21" customHeight="1">
      <c r="A9" s="5" t="inlineStr">
        <is>
          <t>Corte Actual de Horas:</t>
        </is>
      </c>
      <c r="B9" s="6" t="inlineStr">
        <is>
          <t>11 de Septiembre de 2026 (Semanas 01 a 10 Concluidas y Validadas)</t>
        </is>
      </c>
      <c r="C9" s="7" t="n"/>
      <c r="D9" s="7" t="n"/>
      <c r="E9" s="7" t="n"/>
      <c r="G9" s="8" t="inlineStr">
        <is>
          <t>% Avance Real al 11 de Septiembre:</t>
        </is>
      </c>
      <c r="H9" s="9" t="n"/>
      <c r="I9" s="9" t="n"/>
      <c r="J9" s="19">
        <f>J6/J5</f>
        <v/>
      </c>
      <c r="K9" s="14" t="n"/>
    </row>
    <row r="10" ht="12" customHeight="1"/>
    <row r="11" ht="30" customHeight="1">
      <c r="A11" s="20" t="inlineStr">
        <is>
          <t>Semana</t>
        </is>
      </c>
      <c r="B11" s="20" t="inlineStr">
        <is>
          <t>Período de Fechas</t>
        </is>
      </c>
      <c r="C11" s="20" t="inlineStr">
        <is>
          <t>Fase / Módulo del Sistema</t>
        </is>
      </c>
      <c r="D11" s="20" t="inlineStr">
        <is>
          <t>Horas Oficina (Presencial)</t>
        </is>
      </c>
      <c r="E11" s="20" t="inlineStr">
        <is>
          <t>Horas Remoto (Dev/Cloud)</t>
        </is>
      </c>
      <c r="F11" s="20" t="inlineStr">
        <is>
          <t>Total Horas</t>
        </is>
      </c>
      <c r="G11" s="20" t="inlineStr">
        <is>
          <t>Acumulado</t>
        </is>
      </c>
      <c r="H11" s="20" t="inlineStr">
        <is>
          <t>% Avance</t>
        </is>
      </c>
      <c r="I11" s="20" t="inlineStr">
        <is>
          <t>Actividades en Sede (Oficina)</t>
        </is>
      </c>
      <c r="J11" s="20" t="inlineStr">
        <is>
          <t>Actividades de Desarrollo Remoto (Casa / Cloud)</t>
        </is>
      </c>
      <c r="K11" s="20" t="inlineStr">
        <is>
          <t>Estatus</t>
        </is>
      </c>
    </row>
    <row r="12" ht="24" customHeight="1">
      <c r="A12" s="21" t="inlineStr">
        <is>
          <t>Semana 01</t>
        </is>
      </c>
      <c r="B12" s="22" t="inlineStr">
        <is>
          <t>06/07/2026 al 10/07/2026</t>
        </is>
      </c>
      <c r="C12" s="23" t="inlineStr">
        <is>
          <t>Fase 1: Requerimientos y Prototipado</t>
        </is>
      </c>
      <c r="D12" s="24" t="n">
        <v>12</v>
      </c>
      <c r="E12" s="25" t="n">
        <v>14</v>
      </c>
      <c r="F12" s="26">
        <f>D12+E12</f>
        <v/>
      </c>
      <c r="G12" s="27">
        <f>F12</f>
        <v/>
      </c>
      <c r="H12" s="28">
        <f>G12/$J$5</f>
        <v/>
      </c>
      <c r="I12" s="29" t="inlineStr">
        <is>
          <t>Entrevistas con mandos y radio-cabina; análisis de flujos físicos en papel; evaluación en sitio de prototipos de pantalla con personal.</t>
        </is>
      </c>
      <c r="J12" s="29" t="inlineStr">
        <is>
          <t>Metodología de prototipado ágil: diseño iterativo de pantallas en Figma/HTML, pruebas de usabilidad y ajustes según feedback.</t>
        </is>
      </c>
      <c r="K12" s="30" t="inlineStr">
        <is>
          <t>Completado y Validado</t>
        </is>
      </c>
    </row>
    <row r="13" ht="24" customHeight="1">
      <c r="A13" s="31" t="inlineStr">
        <is>
          <t>Semana 02</t>
        </is>
      </c>
      <c r="B13" s="32" t="inlineStr">
        <is>
          <t>13/07/2026 al 17/07/2026</t>
        </is>
      </c>
      <c r="C13" s="33" t="inlineStr">
        <is>
          <t>Fase 1: Plataforma Base y Trámites</t>
        </is>
      </c>
      <c r="D13" s="24" t="n">
        <v>8</v>
      </c>
      <c r="E13" s="25" t="n">
        <v>20.5</v>
      </c>
      <c r="F13" s="34">
        <f>D13+E13</f>
        <v/>
      </c>
      <c r="G13" s="35">
        <f>G12+F13</f>
        <v/>
      </c>
      <c r="H13" s="36">
        <f>G13/$J$5</f>
        <v/>
      </c>
      <c r="I13" s="37" t="inlineStr">
        <is>
          <t>Recolección y análisis de formatos oficiales impresos de trámites ciudadanos de Protección Civil (vistos buenos y anuencias).</t>
        </is>
      </c>
      <c r="J13" s="37" t="inlineStr">
        <is>
          <t>Desarrollo de plataforma base local en Django; programación de módulo de trámites e integración de motor de generación de PDFs.</t>
        </is>
      </c>
      <c r="K13" s="30" t="inlineStr">
        <is>
          <t>Completado y Validado</t>
        </is>
      </c>
    </row>
    <row r="14" ht="24" customHeight="1">
      <c r="A14" s="21" t="inlineStr">
        <is>
          <t>Semana 03</t>
        </is>
      </c>
      <c r="B14" s="22" t="inlineStr">
        <is>
          <t>20/07/2026 al 24/07/2026</t>
        </is>
      </c>
      <c r="C14" s="23" t="inlineStr">
        <is>
          <t>Fase 2: Autorización y DigitalOcean</t>
        </is>
      </c>
      <c r="D14" s="24" t="n">
        <v>8</v>
      </c>
      <c r="E14" s="25" t="n">
        <v>16.5</v>
      </c>
      <c r="F14" s="26">
        <f>D14+E14</f>
        <v/>
      </c>
      <c r="G14" s="27">
        <f>G13+F14</f>
        <v/>
      </c>
      <c r="H14" s="28">
        <f>G14/$J$5</f>
        <v/>
      </c>
      <c r="I14" s="29" t="inlineStr">
        <is>
          <t>Demostración al Director Daniel Eduardo Romero Pilar; reunión de autorización para contratar VPS en DigitalOcean para pruebas y presentación a Presidencia.</t>
        </is>
      </c>
      <c r="J14" s="29" t="inlineStr">
        <is>
          <t>Aprovisionamiento y configuración de servidor en DigitalOcean (Ubuntu, SSH, UFW, Nginx, Gunicorn); despliegue de versión staging cerrada.</t>
        </is>
      </c>
      <c r="K14" s="30" t="inlineStr">
        <is>
          <t>Completado y Validado</t>
        </is>
      </c>
    </row>
    <row r="15" ht="24" customHeight="1">
      <c r="A15" s="31" t="inlineStr">
        <is>
          <t>Semana 04</t>
        </is>
      </c>
      <c r="B15" s="32" t="inlineStr">
        <is>
          <t>27/07/2026 al 31/07/2026</t>
        </is>
      </c>
      <c r="C15" s="33" t="inlineStr">
        <is>
          <t>Fase 2: Herramientas Administrativas</t>
        </is>
      </c>
      <c r="D15" s="24" t="n">
        <v>12</v>
      </c>
      <c r="E15" s="25" t="n">
        <v>14.5</v>
      </c>
      <c r="F15" s="34">
        <f>D15+E15</f>
        <v/>
      </c>
      <c r="G15" s="35">
        <f>G14+F15</f>
        <v/>
      </c>
      <c r="H15" s="36">
        <f>G15/$J$5</f>
        <v/>
      </c>
      <c r="I15" s="37" t="inlineStr">
        <is>
          <t>Levantamiento de necesidades con el personal administrativo (licenciadas de oficina); pruebas guiadas de captura de expedientes.</t>
        </is>
      </c>
      <c r="J15" s="37" t="inlineStr">
        <is>
          <t>Desarrollo de submódulo de control de oficios, asignación automática de folios, visor de expedientes y descarga masiva de constancias.</t>
        </is>
      </c>
      <c r="K15" s="30" t="inlineStr">
        <is>
          <t>Completado y Validado</t>
        </is>
      </c>
    </row>
    <row r="16" ht="24" customHeight="1">
      <c r="A16" s="21" t="inlineStr">
        <is>
          <t>Semana 05</t>
        </is>
      </c>
      <c r="B16" s="22" t="inlineStr">
        <is>
          <t>03/08/2026 al 07/08/2026</t>
        </is>
      </c>
      <c r="C16" s="23" t="inlineStr">
        <is>
          <t>Fase 3: Optimización y BD Operativa</t>
        </is>
      </c>
      <c r="D16" s="24" t="n">
        <v>8</v>
      </c>
      <c r="E16" s="25" t="n">
        <v>20</v>
      </c>
      <c r="F16" s="26">
        <f>D16+E16</f>
        <v/>
      </c>
      <c r="G16" s="27">
        <f>G15+F16</f>
        <v/>
      </c>
      <c r="H16" s="28">
        <f>G16/$J$5</f>
        <v/>
      </c>
      <c r="I16" s="29" t="inlineStr">
        <is>
          <t>Apoyo operativo y administrativo en recepción de solicitudes; captura y cotejo de oficios de supervisión de riesgos.</t>
        </is>
      </c>
      <c r="J16" s="29" t="inlineStr">
        <is>
          <t>Solución de errores de CORS y sockets de Gunicorn; configuración de scripts de respaldo y sincronización de base de datos en cloud.</t>
        </is>
      </c>
      <c r="K16" s="30" t="inlineStr">
        <is>
          <t>Completado y Validado</t>
        </is>
      </c>
    </row>
    <row r="17" ht="24" customHeight="1">
      <c r="A17" s="31" t="inlineStr">
        <is>
          <t>Semana 06</t>
        </is>
      </c>
      <c r="B17" s="32" t="inlineStr">
        <is>
          <t>10/08/2026 al 14/08/2026</t>
        </is>
      </c>
      <c r="C17" s="33" t="inlineStr">
        <is>
          <t>Fase 3: Padrón y Roles Operativos</t>
        </is>
      </c>
      <c r="D17" s="24" t="n">
        <v>8</v>
      </c>
      <c r="E17" s="25" t="n">
        <v>16.5</v>
      </c>
      <c r="F17" s="34">
        <f>D17+E17</f>
        <v/>
      </c>
      <c r="G17" s="35">
        <f>G16+F17</f>
        <v/>
      </c>
      <c r="H17" s="36">
        <f>G17/$J$5</f>
        <v/>
      </c>
      <c r="I17" s="37" t="inlineStr">
        <is>
          <t>Cotejo del padrón físico de bomberos, paramédicos y personal de guardia; apoyo administrativo en oficios de comisión.</t>
        </is>
      </c>
      <c r="J17" s="37" t="inlineStr">
        <is>
          <t>Desarrollo del módulo de gestión de personal activo, roles de guardia y permisos; solución de errores de migración en servidor.</t>
        </is>
      </c>
      <c r="K17" s="30" t="inlineStr">
        <is>
          <t>Completado y Validado</t>
        </is>
      </c>
    </row>
    <row r="18" ht="24" customHeight="1">
      <c r="A18" s="21" t="inlineStr">
        <is>
          <t>Semana 07</t>
        </is>
      </c>
      <c r="B18" s="22" t="inlineStr">
        <is>
          <t>17/08/2026 al 21/08/2026</t>
        </is>
      </c>
      <c r="C18" s="23" t="inlineStr">
        <is>
          <t>Fase 4: Catálogo Vehicular y Flota</t>
        </is>
      </c>
      <c r="D18" s="24" t="n">
        <v>8</v>
      </c>
      <c r="E18" s="25" t="n">
        <v>20</v>
      </c>
      <c r="F18" s="26">
        <f>D18+E18</f>
        <v/>
      </c>
      <c r="G18" s="27">
        <f>G17+F18</f>
        <v/>
      </c>
      <c r="H18" s="28">
        <f>G18/$J$5</f>
        <v/>
      </c>
      <c r="I18" s="29" t="inlineStr">
        <is>
          <t>Inspección física de ambulancias, pipas y unidades ligeras; revisión de libretas de kilometraje en radio-cabina.</t>
        </is>
      </c>
      <c r="J18" s="29" t="inlineStr">
        <is>
          <t>Programación del catálogo vehicular y lógica de bitácora de salida; solución de incongruencias de kilometraje y mantenimiento.</t>
        </is>
      </c>
      <c r="K18" s="30" t="inlineStr">
        <is>
          <t>Completado y Validado</t>
        </is>
      </c>
    </row>
    <row r="19" ht="24" customHeight="1">
      <c r="A19" s="31" t="inlineStr">
        <is>
          <t>Semana 08</t>
        </is>
      </c>
      <c r="B19" s="32" t="inlineStr">
        <is>
          <t>24/08/2026 al 28/08/2026</t>
        </is>
      </c>
      <c r="C19" s="33" t="inlineStr">
        <is>
          <t>Fase 4: Ingesta de Reportes</t>
        </is>
      </c>
      <c r="D19" s="24" t="n">
        <v>8</v>
      </c>
      <c r="E19" s="25" t="n">
        <v>20.5</v>
      </c>
      <c r="F19" s="34">
        <f>D19+E19</f>
        <v/>
      </c>
      <c r="G19" s="35">
        <f>G18+F19</f>
        <v/>
      </c>
      <c r="H19" s="36">
        <f>G19/$J$5</f>
        <v/>
      </c>
      <c r="I19" s="37" t="inlineStr">
        <is>
          <t>Levantamiento de incidentes semanales; apoyo en clasificación de expedientes y archivo físico en la dependencia.</t>
        </is>
      </c>
      <c r="J19" s="37" t="inlineStr">
        <is>
          <t>Desarrollo de parser de reportes de emergencia y normalización de datos; exportación preliminar de reportes de agosto en Excel.</t>
        </is>
      </c>
      <c r="K19" s="30" t="inlineStr">
        <is>
          <t>Completado y Validado</t>
        </is>
      </c>
    </row>
    <row r="20" ht="24" customHeight="1">
      <c r="A20" s="21" t="inlineStr">
        <is>
          <t>Semana 09</t>
        </is>
      </c>
      <c r="B20" s="22" t="inlineStr">
        <is>
          <t>31/08/2026 al 04/09/2026</t>
        </is>
      </c>
      <c r="C20" s="23" t="inlineStr">
        <is>
          <t>Fase 5: Cierre Agosto y Requerimiento Anual</t>
        </is>
      </c>
      <c r="D20" s="24" t="n">
        <v>8</v>
      </c>
      <c r="E20" s="25" t="n">
        <v>21.5</v>
      </c>
      <c r="F20" s="26">
        <f>D20+E20</f>
        <v/>
      </c>
      <c r="G20" s="27">
        <f>G19+F20</f>
        <v/>
      </c>
      <c r="H20" s="28">
        <f>G20/$J$5</f>
        <v/>
      </c>
      <c r="I20" s="29" t="inlineStr">
        <is>
          <t>Cierre administrativo de agosto con directivos; recepción de instrucción de Presidencia para informe anual (01/01 al 10/09).</t>
        </is>
      </c>
      <c r="J20" s="29" t="inlineStr">
        <is>
          <t>Auditoría de BD, generación de PDF ejecutivo de agosto; extracción y unificación de fuentes dispersas para reporte anual con Pandas.</t>
        </is>
      </c>
      <c r="K20" s="30" t="inlineStr">
        <is>
          <t>Completado y Validado</t>
        </is>
      </c>
    </row>
    <row r="21" ht="24" customHeight="1">
      <c r="A21" s="31" t="inlineStr">
        <is>
          <t>Semana 10</t>
        </is>
      </c>
      <c r="B21" s="32" t="inlineStr">
        <is>
          <t>07/09/2026 al 11/09/2026</t>
        </is>
      </c>
      <c r="C21" s="33" t="inlineStr">
        <is>
          <t>Fase 5: Crunch Data Science Reporte Anual</t>
        </is>
      </c>
      <c r="D21" s="24" t="n">
        <v>20</v>
      </c>
      <c r="E21" s="25" t="n">
        <v>27</v>
      </c>
      <c r="F21" s="34">
        <f>D21+E21</f>
        <v/>
      </c>
      <c r="G21" s="35">
        <f>G20+F21</f>
        <v/>
      </c>
      <c r="H21" s="36">
        <f>G21/$J$5</f>
        <v/>
      </c>
      <c r="I21" s="37" t="inlineStr">
        <is>
          <t>Jornadas intensivas en base: cotejo manual con radioperadores de folios y localidades; entrega formal del dictamen anual al Dir. Romero Pilar.</t>
        </is>
      </c>
      <c r="J21" s="37" t="inlineStr">
        <is>
          <t>Trabajo masivo de Ciencia de Datos: limpieza de datos (Pandas), depuración de valores nulos, analítica avanzada y generación de reportes maestros.</t>
        </is>
      </c>
      <c r="K21" s="30" t="inlineStr">
        <is>
          <t>Completado y Validado</t>
        </is>
      </c>
    </row>
    <row r="22" ht="24" customHeight="1">
      <c r="A22" s="21" t="inlineStr">
        <is>
          <t>Semana 11</t>
        </is>
      </c>
      <c r="B22" s="22" t="inlineStr">
        <is>
          <t>14/09/2026 al 18/09/2026</t>
        </is>
      </c>
      <c r="C22" s="23" t="inlineStr">
        <is>
          <t>Fase 6: Alertas Ciudadanas (Patrio)</t>
        </is>
      </c>
      <c r="D22" s="24" t="n">
        <v>4</v>
      </c>
      <c r="E22" s="25" t="n">
        <v>8</v>
      </c>
      <c r="F22" s="26">
        <f>D22+E22</f>
        <v/>
      </c>
      <c r="G22" s="27">
        <f>G21+F22</f>
        <v/>
      </c>
      <c r="H22" s="28">
        <f>G22/$J$5</f>
        <v/>
      </c>
      <c r="I22" s="29" t="inlineStr">
        <is>
          <t>Revisión de flujo de alertas en cabina durante operativos del 15 y 16 de septiembre (Día de la Independencia).</t>
        </is>
      </c>
      <c r="J22" s="29" t="inlineStr">
        <is>
          <t>Desarrollo de canal de ingesta automática de reportes ciudadanos y normalización de textos.</t>
        </is>
      </c>
      <c r="K22" s="38" t="inlineStr">
        <is>
          <t>Proyección Programada</t>
        </is>
      </c>
    </row>
    <row r="23" ht="24" customHeight="1">
      <c r="A23" s="31" t="inlineStr">
        <is>
          <t>Semana 12</t>
        </is>
      </c>
      <c r="B23" s="32" t="inlineStr">
        <is>
          <t>21/09/2026 al 25/09/2026</t>
        </is>
      </c>
      <c r="C23" s="33" t="inlineStr">
        <is>
          <t>Fase 6: Georreferenciación Local</t>
        </is>
      </c>
      <c r="D23" s="24" t="n">
        <v>5</v>
      </c>
      <c r="E23" s="25" t="n">
        <v>8</v>
      </c>
      <c r="F23" s="34">
        <f>D23+E23</f>
        <v/>
      </c>
      <c r="G23" s="35">
        <f>G22+F23</f>
        <v/>
      </c>
      <c r="H23" s="36">
        <f>G23/$J$5</f>
        <v/>
      </c>
      <c r="I23" s="37" t="inlineStr">
        <is>
          <t>Cotejo cartográfico con personal de campo sobre cuadrantes y localidades de Medellín de Bravo.</t>
        </is>
      </c>
      <c r="J23" s="37" t="inlineStr">
        <is>
          <t>Implementación de filtros de georreferenciación y vistas agrupadas por localidad en el portal.</t>
        </is>
      </c>
      <c r="K23" s="38" t="inlineStr">
        <is>
          <t>Proyección Programada</t>
        </is>
      </c>
    </row>
    <row r="24" ht="24" customHeight="1">
      <c r="A24" s="21" t="inlineStr">
        <is>
          <t>Semana 13</t>
        </is>
      </c>
      <c r="B24" s="22" t="inlineStr">
        <is>
          <t>28/09/2026 al 02/10/2026</t>
        </is>
      </c>
      <c r="C24" s="23" t="inlineStr">
        <is>
          <t>Fase 6: Pruebas de Carga en Droplet</t>
        </is>
      </c>
      <c r="D24" s="24" t="n">
        <v>5</v>
      </c>
      <c r="E24" s="25" t="n">
        <v>8</v>
      </c>
      <c r="F24" s="26">
        <f>D24+E24</f>
        <v/>
      </c>
      <c r="G24" s="27">
        <f>G23+F24</f>
        <v/>
      </c>
      <c r="H24" s="28">
        <f>G24/$J$5</f>
        <v/>
      </c>
      <c r="I24" s="29" t="inlineStr">
        <is>
          <t>Monitoreo en vivo de consultas concurrentes desde computadoras de guardia.</t>
        </is>
      </c>
      <c r="J24" s="29" t="inlineStr">
        <is>
          <t>Ajuste de workers de Gunicorn, configuración de caché y optimización de índices SQL en cloud.</t>
        </is>
      </c>
      <c r="K24" s="38" t="inlineStr">
        <is>
          <t>Proyección Programada</t>
        </is>
      </c>
    </row>
    <row r="25" ht="24" customHeight="1">
      <c r="A25" s="31" t="inlineStr">
        <is>
          <t>Semana 14</t>
        </is>
      </c>
      <c r="B25" s="32" t="inlineStr">
        <is>
          <t>05/10/2026 al 09/10/2026</t>
        </is>
      </c>
      <c r="C25" s="33" t="inlineStr">
        <is>
          <t>Fase 7: Bitácora Digital de Guardias</t>
        </is>
      </c>
      <c r="D25" s="24" t="n">
        <v>5</v>
      </c>
      <c r="E25" s="25" t="n">
        <v>8</v>
      </c>
      <c r="F25" s="34">
        <f>D25+E25</f>
        <v/>
      </c>
      <c r="G25" s="35">
        <f>G24+F25</f>
        <v/>
      </c>
      <c r="H25" s="36">
        <f>G25/$J$5</f>
        <v/>
      </c>
      <c r="I25" s="37" t="inlineStr">
        <is>
          <t>Retroalimentación con jefes de sector sobre captura de relevos de turno.</t>
        </is>
      </c>
      <c r="J25" s="37" t="inlineStr">
        <is>
          <t>Programación del submódulo de bitácora digital de guardia y control de novedades de servicio.</t>
        </is>
      </c>
      <c r="K25" s="38" t="inlineStr">
        <is>
          <t>Proyección Programada</t>
        </is>
      </c>
    </row>
    <row r="26" ht="24" customHeight="1">
      <c r="A26" s="21" t="inlineStr">
        <is>
          <t>Semana 15</t>
        </is>
      </c>
      <c r="B26" s="22" t="inlineStr">
        <is>
          <t>12/10/2026 al 16/10/2026</t>
        </is>
      </c>
      <c r="C26" s="23" t="inlineStr">
        <is>
          <t>Fase 7: Módulo de Hidrantes y Recursos</t>
        </is>
      </c>
      <c r="D26" s="24" t="n">
        <v>5</v>
      </c>
      <c r="E26" s="25" t="n">
        <v>8</v>
      </c>
      <c r="F26" s="26">
        <f>D26+E26</f>
        <v/>
      </c>
      <c r="G26" s="27">
        <f>G25+F26</f>
        <v/>
      </c>
      <c r="H26" s="28">
        <f>G26/$J$5</f>
        <v/>
      </c>
      <c r="I26" s="29" t="inlineStr">
        <is>
          <t>Inventario en sitio de hidrantes y fuentes de abastecimiento de agua en el municipio.</t>
        </is>
      </c>
      <c r="J26" s="29" t="inlineStr">
        <is>
          <t>Desarrollo del mapa interactivo de hidrantes y disponibilidad de recursos de respuesta.</t>
        </is>
      </c>
      <c r="K26" s="38" t="inlineStr">
        <is>
          <t>Proyección Programada</t>
        </is>
      </c>
    </row>
    <row r="27" ht="24" customHeight="1">
      <c r="A27" s="31" t="inlineStr">
        <is>
          <t>Semana 16</t>
        </is>
      </c>
      <c r="B27" s="32" t="inlineStr">
        <is>
          <t>19/10/2026 al 23/10/2026</t>
        </is>
      </c>
      <c r="C27" s="33" t="inlineStr">
        <is>
          <t>Fase 8: Automatización de Reportes Semanales</t>
        </is>
      </c>
      <c r="D27" s="24" t="n">
        <v>5</v>
      </c>
      <c r="E27" s="25" t="n">
        <v>8</v>
      </c>
      <c r="F27" s="34">
        <f>D27+E27</f>
        <v/>
      </c>
      <c r="G27" s="35">
        <f>G26+F27</f>
        <v/>
      </c>
      <c r="H27" s="36">
        <f>G27/$J$5</f>
        <v/>
      </c>
      <c r="I27" s="37" t="inlineStr">
        <is>
          <t>Validación de formatos de reporte semanal con la comandancia de incidentes.</t>
        </is>
      </c>
      <c r="J27" s="37" t="inlineStr">
        <is>
          <t>Programación de generador automático de resúmenes semanales en PDF estructurado.</t>
        </is>
      </c>
      <c r="K27" s="38" t="inlineStr">
        <is>
          <t>Proyección Programada</t>
        </is>
      </c>
    </row>
    <row r="28" ht="24" customHeight="1">
      <c r="A28" s="21" t="inlineStr">
        <is>
          <t>Semana 17</t>
        </is>
      </c>
      <c r="B28" s="22" t="inlineStr">
        <is>
          <t>26/10/2026 al 30/10/2026</t>
        </is>
      </c>
      <c r="C28" s="23" t="inlineStr">
        <is>
          <t>Fase 8: Seguridad y Respaldo Cloud</t>
        </is>
      </c>
      <c r="D28" s="24" t="n">
        <v>5</v>
      </c>
      <c r="E28" s="25" t="n">
        <v>8</v>
      </c>
      <c r="F28" s="26">
        <f>D28+E28</f>
        <v/>
      </c>
      <c r="G28" s="27">
        <f>G27+F28</f>
        <v/>
      </c>
      <c r="H28" s="28">
        <f>G28/$J$5</f>
        <v/>
      </c>
      <c r="I28" s="29" t="inlineStr">
        <is>
          <t>Auditoría de seguridad física y control de contraseñas en terminales de la base.</t>
        </is>
      </c>
      <c r="J28" s="29" t="inlineStr">
        <is>
          <t>Automatización de snapshots y respaldos cifrados en almacenamiento externo de DigitalOcean.</t>
        </is>
      </c>
      <c r="K28" s="38" t="inlineStr">
        <is>
          <t>Proyección Programada</t>
        </is>
      </c>
    </row>
    <row r="29" ht="24" customHeight="1">
      <c r="A29" s="31" t="inlineStr">
        <is>
          <t>Semana 18</t>
        </is>
      </c>
      <c r="B29" s="32" t="inlineStr">
        <is>
          <t>02/11/2026 al 06/11/2026</t>
        </is>
      </c>
      <c r="C29" s="33" t="inlineStr">
        <is>
          <t>Fase 9: Operativo Panteones (Día Muertos)</t>
        </is>
      </c>
      <c r="D29" s="24" t="n">
        <v>4</v>
      </c>
      <c r="E29" s="25" t="n">
        <v>8</v>
      </c>
      <c r="F29" s="34">
        <f>D29+E29</f>
        <v/>
      </c>
      <c r="G29" s="35">
        <f>G28+F29</f>
        <v/>
      </c>
      <c r="H29" s="36">
        <f>G29/$J$5</f>
        <v/>
      </c>
      <c r="I29" s="37" t="inlineStr">
        <is>
          <t>Apoyo en captura de novedades del operativo especial de panteones en Medellín de Bravo (02 Nov).</t>
        </is>
      </c>
      <c r="J29" s="37" t="inlineStr">
        <is>
          <t>Ajuste de parámetros en modelos de incidentes vehiculares y personal en turno.</t>
        </is>
      </c>
      <c r="K29" s="38" t="inlineStr">
        <is>
          <t>Proyección Programada</t>
        </is>
      </c>
    </row>
    <row r="30" ht="24" customHeight="1">
      <c r="A30" s="21" t="inlineStr">
        <is>
          <t>Semana 19</t>
        </is>
      </c>
      <c r="B30" s="22" t="inlineStr">
        <is>
          <t>09/11/2026 al 13/11/2026</t>
        </is>
      </c>
      <c r="C30" s="23" t="inlineStr">
        <is>
          <t>Fase 9: Control de Inventario Médico</t>
        </is>
      </c>
      <c r="D30" s="24" t="n">
        <v>5</v>
      </c>
      <c r="E30" s="25" t="n">
        <v>8</v>
      </c>
      <c r="F30" s="26">
        <f>D30+E30</f>
        <v/>
      </c>
      <c r="G30" s="27">
        <f>G29+F30</f>
        <v/>
      </c>
      <c r="H30" s="28">
        <f>G30/$J$5</f>
        <v/>
      </c>
      <c r="I30" s="29" t="inlineStr">
        <is>
          <t>Revisión de botiquines y stock de insumos médicos con personal paramédico.</t>
        </is>
      </c>
      <c r="J30" s="29" t="inlineStr">
        <is>
          <t>Desarrollo del catálogo de insumos médicos y alertas de caducidad y reabastecimiento.</t>
        </is>
      </c>
      <c r="K30" s="38" t="inlineStr">
        <is>
          <t>Proyección Programada</t>
        </is>
      </c>
    </row>
    <row r="31" ht="24" customHeight="1">
      <c r="A31" s="31" t="inlineStr">
        <is>
          <t>Semana 20</t>
        </is>
      </c>
      <c r="B31" s="32" t="inlineStr">
        <is>
          <t>16/11/2026 al 20/11/2026</t>
        </is>
      </c>
      <c r="C31" s="33" t="inlineStr">
        <is>
          <t>Fase 10: Auditoría de Código (Revolución)</t>
        </is>
      </c>
      <c r="D31" s="24" t="n">
        <v>4</v>
      </c>
      <c r="E31" s="25" t="n">
        <v>8</v>
      </c>
      <c r="F31" s="34">
        <f>D31+E31</f>
        <v/>
      </c>
      <c r="G31" s="35">
        <f>G30+F31</f>
        <v/>
      </c>
      <c r="H31" s="36">
        <f>G31/$J$5</f>
        <v/>
      </c>
      <c r="I31" s="37" t="inlineStr">
        <is>
          <t>Revisión intermedia de avances con el supervisor institucional de servicio social (16 Nov).</t>
        </is>
      </c>
      <c r="J31" s="37" t="inlineStr">
        <is>
          <t>Refactorización de código Django, actualización de librerías y parches de seguridad.</t>
        </is>
      </c>
      <c r="K31" s="38" t="inlineStr">
        <is>
          <t>Proyección Programada</t>
        </is>
      </c>
    </row>
    <row r="32" ht="24" customHeight="1">
      <c r="A32" s="21" t="inlineStr">
        <is>
          <t>Semana 21</t>
        </is>
      </c>
      <c r="B32" s="22" t="inlineStr">
        <is>
          <t>23/11/2026 al 27/11/2026</t>
        </is>
      </c>
      <c r="C32" s="23" t="inlineStr">
        <is>
          <t>Fase 10: Despliegue v1.5 en Droplet</t>
        </is>
      </c>
      <c r="D32" s="24" t="n">
        <v>5</v>
      </c>
      <c r="E32" s="25" t="n">
        <v>8</v>
      </c>
      <c r="F32" s="26">
        <f>D32+E32</f>
        <v/>
      </c>
      <c r="G32" s="27">
        <f>G31+F32</f>
        <v/>
      </c>
      <c r="H32" s="28">
        <f>G32/$J$5</f>
        <v/>
      </c>
      <c r="I32" s="29" t="inlineStr">
        <is>
          <t>Pruebas operativas integrales en la estación con el personal administrativo y operativo.</t>
        </is>
      </c>
      <c r="J32" s="29" t="inlineStr">
        <is>
          <t>Despliegue de actualización mayor v1.5 en DigitalOcean y pruebas de regresión.</t>
        </is>
      </c>
      <c r="K32" s="38" t="inlineStr">
        <is>
          <t>Proyección Programada</t>
        </is>
      </c>
    </row>
    <row r="33" ht="24" customHeight="1">
      <c r="A33" s="31" t="inlineStr">
        <is>
          <t>Semana 22</t>
        </is>
      </c>
      <c r="B33" s="32" t="inlineStr">
        <is>
          <t>30/11/2026 al 04/12/2026</t>
        </is>
      </c>
      <c r="C33" s="33" t="inlineStr">
        <is>
          <t>Fase 11: Talleres de Capacitación</t>
        </is>
      </c>
      <c r="D33" s="24" t="n">
        <v>5</v>
      </c>
      <c r="E33" s="25" t="n">
        <v>8</v>
      </c>
      <c r="F33" s="34">
        <f>D33+E33</f>
        <v/>
      </c>
      <c r="G33" s="35">
        <f>G32+F33</f>
        <v/>
      </c>
      <c r="H33" s="36">
        <f>G33/$J$5</f>
        <v/>
      </c>
      <c r="I33" s="37" t="inlineStr">
        <is>
          <t>Impartición de talleres de capacitación a radioperadores, choferes y personal de oficina.</t>
        </is>
      </c>
      <c r="J33" s="37" t="inlineStr">
        <is>
          <t>Ajustes de ergonomía de interfaz basados en las consultas de los usuarios durante los talleres.</t>
        </is>
      </c>
      <c r="K33" s="38" t="inlineStr">
        <is>
          <t>Proyección Programada</t>
        </is>
      </c>
    </row>
    <row r="34" ht="24" customHeight="1">
      <c r="A34" s="21" t="inlineStr">
        <is>
          <t>Semana 23</t>
        </is>
      </c>
      <c r="B34" s="22" t="inlineStr">
        <is>
          <t>07/12/2026 al 11/12/2026</t>
        </is>
      </c>
      <c r="C34" s="23" t="inlineStr">
        <is>
          <t>Fase 11: Documentación y Manuales</t>
        </is>
      </c>
      <c r="D34" s="24" t="n">
        <v>5</v>
      </c>
      <c r="E34" s="25" t="n">
        <v>8</v>
      </c>
      <c r="F34" s="26">
        <f>D34+E34</f>
        <v/>
      </c>
      <c r="G34" s="27">
        <f>G33+F34</f>
        <v/>
      </c>
      <c r="H34" s="28">
        <f>G34/$J$5</f>
        <v/>
      </c>
      <c r="I34" s="29" t="inlineStr">
        <is>
          <t>Cotejo de manuales con el área jurídica y directivos de Protección Civil.</t>
        </is>
      </c>
      <c r="J34" s="29" t="inlineStr">
        <is>
          <t>Redacción de manuales técnicos de arquitectura, configuración de servidor y diagramas.</t>
        </is>
      </c>
      <c r="K34" s="38" t="inlineStr">
        <is>
          <t>Proyección Programada</t>
        </is>
      </c>
    </row>
    <row r="35" ht="24" customHeight="1">
      <c r="A35" s="31" t="inlineStr">
        <is>
          <t>Semana 24</t>
        </is>
      </c>
      <c r="B35" s="32" t="inlineStr">
        <is>
          <t>14/12/2026 al 18/12/2026</t>
        </is>
      </c>
      <c r="C35" s="33" t="inlineStr">
        <is>
          <t>Fase 12: Manual de Usuario Final</t>
        </is>
      </c>
      <c r="D35" s="24" t="n">
        <v>5</v>
      </c>
      <c r="E35" s="25" t="n">
        <v>8</v>
      </c>
      <c r="F35" s="34">
        <f>D35+E35</f>
        <v/>
      </c>
      <c r="G35" s="35">
        <f>G34+F35</f>
        <v/>
      </c>
      <c r="H35" s="36">
        <f>G35/$J$5</f>
        <v/>
      </c>
      <c r="I35" s="37" t="inlineStr">
        <is>
          <t>Distribución de guías rápidas impresas al personal de comandancia.</t>
        </is>
      </c>
      <c r="J35" s="37" t="inlineStr">
        <is>
          <t>Diseño de manual interactivo de usuario final en formato PDF digital responsivo.</t>
        </is>
      </c>
      <c r="K35" s="38" t="inlineStr">
        <is>
          <t>Proyección Programada</t>
        </is>
      </c>
    </row>
    <row r="36" ht="24" customHeight="1">
      <c r="A36" s="21" t="inlineStr">
        <is>
          <t>Semana 25</t>
        </is>
      </c>
      <c r="B36" s="22" t="inlineStr">
        <is>
          <t>21/12/2026 al 25/12/2026</t>
        </is>
      </c>
      <c r="C36" s="23" t="inlineStr">
        <is>
          <t>Fase 12: Receso Navideño (Cloud Ops)</t>
        </is>
      </c>
      <c r="D36" s="39" t="n">
        <v>0</v>
      </c>
      <c r="E36" s="25" t="n">
        <v>4</v>
      </c>
      <c r="F36" s="26">
        <f>D36+E36</f>
        <v/>
      </c>
      <c r="G36" s="27">
        <f>G35+F36</f>
        <v/>
      </c>
      <c r="H36" s="28">
        <f>G36/$J$5</f>
        <v/>
      </c>
      <c r="I36" s="29" t="inlineStr">
        <is>
          <t>Período de receso presencial de fin de año en oficinas gubernamentales.</t>
        </is>
      </c>
      <c r="J36" s="29" t="inlineStr">
        <is>
          <t>Monitoreo remoto de uptime, verificación de integridad de respaldos y depuración de logs.</t>
        </is>
      </c>
      <c r="K36" s="38" t="inlineStr">
        <is>
          <t>Proyección Programada</t>
        </is>
      </c>
    </row>
    <row r="37" ht="24" customHeight="1">
      <c r="A37" s="31" t="inlineStr">
        <is>
          <t>Semana 26</t>
        </is>
      </c>
      <c r="B37" s="32" t="inlineStr">
        <is>
          <t>28/12/2026 al 01/01/2027</t>
        </is>
      </c>
      <c r="C37" s="33" t="inlineStr">
        <is>
          <t>Fase 13: Receso Año Nuevo (Mantenimiento)</t>
        </is>
      </c>
      <c r="D37" s="39" t="n">
        <v>0</v>
      </c>
      <c r="E37" s="25" t="n">
        <v>4</v>
      </c>
      <c r="F37" s="34">
        <f>D37+E37</f>
        <v/>
      </c>
      <c r="G37" s="35">
        <f>G36+F37</f>
        <v/>
      </c>
      <c r="H37" s="36">
        <f>G37/$J$5</f>
        <v/>
      </c>
      <c r="I37" s="37" t="inlineStr">
        <is>
          <t>Período de receso presencial de fin de año en oficinas gubernamentales.</t>
        </is>
      </c>
      <c r="J37" s="37" t="inlineStr">
        <is>
          <t>Optimización de base de datos para cierre anual y preparación para ejercicio 2027.</t>
        </is>
      </c>
      <c r="K37" s="38" t="inlineStr">
        <is>
          <t>Proyección Programada</t>
        </is>
      </c>
    </row>
    <row r="38" ht="24" customHeight="1">
      <c r="A38" s="21" t="inlineStr">
        <is>
          <t>Semana 27</t>
        </is>
      </c>
      <c r="B38" s="22" t="inlineStr">
        <is>
          <t>04/01/2027 al 08/01/2027</t>
        </is>
      </c>
      <c r="C38" s="23" t="inlineStr">
        <is>
          <t>Fase 13: Pruebas de Cierre Operativo</t>
        </is>
      </c>
      <c r="D38" s="24" t="n">
        <v>6</v>
      </c>
      <c r="E38" s="25" t="n">
        <v>12</v>
      </c>
      <c r="F38" s="26">
        <f>D38+E38</f>
        <v/>
      </c>
      <c r="G38" s="27">
        <f>G37+F38</f>
        <v/>
      </c>
      <c r="H38" s="28">
        <f>G38/$J$5</f>
        <v/>
      </c>
      <c r="I38" s="29" t="inlineStr">
        <is>
          <t>Verificación final del sistema en sede con el Director Daniel Eduardo Romero Pilar.</t>
        </is>
      </c>
      <c r="J38" s="29" t="inlineStr">
        <is>
          <t>Exportación de estadísticas consolidadas y respaldo maestro definitivo del servidor.</t>
        </is>
      </c>
      <c r="K38" s="38" t="inlineStr">
        <is>
          <t>Proyección Programada</t>
        </is>
      </c>
    </row>
    <row r="39" ht="24" customHeight="1">
      <c r="A39" s="31" t="inlineStr">
        <is>
          <t>Semana 28</t>
        </is>
      </c>
      <c r="B39" s="32" t="inlineStr">
        <is>
          <t>11/01/2027 al 11/01/2027</t>
        </is>
      </c>
      <c r="C39" s="33" t="inlineStr">
        <is>
          <t>Fase Final: Entrega y Liberación</t>
        </is>
      </c>
      <c r="D39" s="24" t="n">
        <v>4</v>
      </c>
      <c r="E39" s="40" t="n">
        <v>0</v>
      </c>
      <c r="F39" s="34">
        <f>D39+E39</f>
        <v/>
      </c>
      <c r="G39" s="35">
        <f>G38+F39</f>
        <v/>
      </c>
      <c r="H39" s="36">
        <f>G39/$J$5</f>
        <v/>
      </c>
      <c r="I39" s="37" t="inlineStr">
        <is>
          <t>Entrega formal de credenciales maestras, código fuente y firma de liberación de servicio social.</t>
        </is>
      </c>
      <c r="J39" s="37" t="inlineStr">
        <is>
          <t>Cierre administrativo del expediente de servicio social.</t>
        </is>
      </c>
      <c r="K39" s="38" t="inlineStr">
        <is>
          <t>Proyección Programada</t>
        </is>
      </c>
    </row>
    <row r="40" ht="28" customHeight="1">
      <c r="A40" s="41" t="inlineStr">
        <is>
          <t>TOTALES DEL PLAN INSTITUCIONAL (500 HORAS):</t>
        </is>
      </c>
      <c r="B40" s="42" t="n"/>
      <c r="C40" s="42" t="n"/>
      <c r="D40" s="43">
        <f>SUM(D12:D39)</f>
        <v/>
      </c>
      <c r="E40" s="44">
        <f>SUM(E12:E39)</f>
        <v/>
      </c>
      <c r="F40" s="45">
        <f>SUM(F12:F39)</f>
        <v/>
      </c>
      <c r="G40" s="46">
        <f>G39</f>
        <v/>
      </c>
      <c r="H40" s="47">
        <f>G40/$J$5</f>
        <v/>
      </c>
      <c r="I40" s="48" t="inlineStr">
        <is>
          <t>META 500 HORAS CONSOLIDADA (177h Oficina + 323h Remoto)</t>
        </is>
      </c>
      <c r="J40" s="49" t="n"/>
      <c r="K40" s="49" t="n"/>
    </row>
  </sheetData>
  <mergeCells count="21">
    <mergeCell ref="B9:E9"/>
    <mergeCell ref="J5:K5"/>
    <mergeCell ref="G6:I6"/>
    <mergeCell ref="B6:E6"/>
    <mergeCell ref="B5:E5"/>
    <mergeCell ref="A1:K1"/>
    <mergeCell ref="J9:K9"/>
    <mergeCell ref="G5:I5"/>
    <mergeCell ref="J6:K6"/>
    <mergeCell ref="B7:E7"/>
    <mergeCell ref="J7:K7"/>
    <mergeCell ref="A2:K2"/>
    <mergeCell ref="A40:C40"/>
    <mergeCell ref="G9:I9"/>
    <mergeCell ref="I40:K40"/>
    <mergeCell ref="G4:K4"/>
    <mergeCell ref="A4:E4"/>
    <mergeCell ref="B8:E8"/>
    <mergeCell ref="G7:I7"/>
    <mergeCell ref="G8:I8"/>
    <mergeCell ref="J8:K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7"/>
  <sheetViews>
    <sheetView showGridLines="1" workbookViewId="0">
      <selection activeCell="A1" sqref="A1"/>
    </sheetView>
  </sheetViews>
  <sheetFormatPr baseColWidth="8" defaultRowHeight="15"/>
  <cols>
    <col width="6" customWidth="1" min="1" max="1"/>
    <col width="12" customWidth="1" min="2" max="2"/>
    <col width="13" customWidth="1" min="3" max="3"/>
    <col width="12" customWidth="1" min="4" max="4"/>
    <col width="22" customWidth="1" min="5" max="5"/>
    <col width="16" customWidth="1" min="6" max="6"/>
    <col width="10" customWidth="1" min="7" max="7"/>
    <col width="56" customWidth="1" min="8" max="8"/>
    <col width="16" customWidth="1" min="9" max="9"/>
  </cols>
  <sheetData>
    <row r="1" ht="32" customHeight="1">
      <c r="A1" s="1" t="inlineStr">
        <is>
          <t>BITÁCORA DETALLADA DE ASISTENCIA Y ACTIVIDADES DIARIAS</t>
        </is>
      </c>
    </row>
    <row r="2" ht="20" customHeight="1">
      <c r="A2" s="2" t="inlineStr">
        <is>
          <t>Jornadas Granulares Reales y Proyectadas • Corte Actual al 11 de Septiembre de 2026 (Semanas 01 a 10) • Meta: 500 Horas</t>
        </is>
      </c>
    </row>
    <row r="4" ht="28" customHeight="1">
      <c r="A4" s="50" t="inlineStr">
        <is>
          <t>No.</t>
        </is>
      </c>
      <c r="B4" s="50" t="inlineStr">
        <is>
          <t>Semana</t>
        </is>
      </c>
      <c r="C4" s="50" t="inlineStr">
        <is>
          <t>Fecha</t>
        </is>
      </c>
      <c r="D4" s="50" t="inlineStr">
        <is>
          <t>Día</t>
        </is>
      </c>
      <c r="E4" s="50" t="inlineStr">
        <is>
          <t>Modalidad</t>
        </is>
      </c>
      <c r="F4" s="50" t="inlineStr">
        <is>
          <t>Horario</t>
        </is>
      </c>
      <c r="G4" s="50" t="inlineStr">
        <is>
          <t>Horas</t>
        </is>
      </c>
      <c r="H4" s="50" t="inlineStr">
        <is>
          <t>Descripción Específica de la Actividad Realizada</t>
        </is>
      </c>
      <c r="I4" s="50" t="inlineStr">
        <is>
          <t>Estatus</t>
        </is>
      </c>
    </row>
    <row r="5" ht="21" customHeight="1">
      <c r="A5" s="51" t="n">
        <v>1</v>
      </c>
      <c r="B5" s="31" t="inlineStr">
        <is>
          <t>Semana 01</t>
        </is>
      </c>
      <c r="C5" s="52" t="n">
        <v>46209</v>
      </c>
      <c r="D5" s="53">
        <f>CHOOSE(WEEKDAY(C5,2),"Lunes","Martes","Miércoles","Jueves","Viernes","Sábado","Domingo")</f>
        <v/>
      </c>
      <c r="E5" s="54" t="inlineStr">
        <is>
          <t>Oficina (Presencial)</t>
        </is>
      </c>
      <c r="F5" s="32" t="inlineStr">
        <is>
          <t>09:00 - 13:00</t>
        </is>
      </c>
      <c r="G5" s="34" t="n">
        <v>4</v>
      </c>
      <c r="H5" s="55" t="inlineStr">
        <is>
          <t>Presentación institucional con el Director Daniel Eduardo Romero Pilar. Primer contacto con el área administrativa y operativa; levantamiento de requerimientos y análisis del flujo de trabajo físico (papel y libretas).</t>
        </is>
      </c>
      <c r="I5" s="30" t="inlineStr">
        <is>
          <t>Ejecutado y Validado</t>
        </is>
      </c>
    </row>
    <row r="6" ht="21" customHeight="1">
      <c r="A6" s="56" t="n">
        <v>2</v>
      </c>
      <c r="B6" s="21" t="inlineStr">
        <is>
          <t>Semana 01</t>
        </is>
      </c>
      <c r="C6" s="57" t="n">
        <v>46210</v>
      </c>
      <c r="D6" s="58">
        <f>CHOOSE(WEEKDAY(C6,2),"Lunes","Martes","Miércoles","Jueves","Viernes","Sábado","Domingo")</f>
        <v/>
      </c>
      <c r="E6" s="59" t="inlineStr">
        <is>
          <t>Remoto (Desarrollo en Casa)</t>
        </is>
      </c>
      <c r="F6" s="22" t="inlineStr">
        <is>
          <t>15:00 - 20:00</t>
        </is>
      </c>
      <c r="G6" s="26" t="n">
        <v>5</v>
      </c>
      <c r="H6" s="60" t="inlineStr">
        <is>
          <t>Análisis de requerimientos y elaboración de primeros wireframes interactivos (prototipo rápido de dashboard de control).</t>
        </is>
      </c>
      <c r="I6" s="30" t="inlineStr">
        <is>
          <t>Ejecutado y Validado</t>
        </is>
      </c>
    </row>
    <row r="7" ht="21" customHeight="1">
      <c r="A7" s="51" t="n">
        <v>3</v>
      </c>
      <c r="B7" s="31" t="inlineStr">
        <is>
          <t>Semana 01</t>
        </is>
      </c>
      <c r="C7" s="52" t="n">
        <v>46211</v>
      </c>
      <c r="D7" s="53">
        <f>CHOOSE(WEEKDAY(C7,2),"Lunes","Martes","Miércoles","Jueves","Viernes","Sábado","Domingo")</f>
        <v/>
      </c>
      <c r="E7" s="54" t="inlineStr">
        <is>
          <t>Oficina (Presencial)</t>
        </is>
      </c>
      <c r="F7" s="32" t="inlineStr">
        <is>
          <t>09:00 - 13:00</t>
        </is>
      </c>
      <c r="G7" s="34" t="n">
        <v>4</v>
      </c>
      <c r="H7" s="55" t="inlineStr">
        <is>
          <t>Presentación en sitio de primeros prototipos visuales al personal de guardia; recopilación de observaciones ('qué les gusta y qué elementos estorban').</t>
        </is>
      </c>
      <c r="I7" s="30" t="inlineStr">
        <is>
          <t>Ejecutado y Validado</t>
        </is>
      </c>
    </row>
    <row r="8" ht="21" customHeight="1">
      <c r="A8" s="56" t="n">
        <v>4</v>
      </c>
      <c r="B8" s="21" t="inlineStr">
        <is>
          <t>Semana 01</t>
        </is>
      </c>
      <c r="C8" s="57" t="n">
        <v>46211</v>
      </c>
      <c r="D8" s="58">
        <f>CHOOSE(WEEKDAY(C8,2),"Lunes","Martes","Miércoles","Jueves","Viernes","Sábado","Domingo")</f>
        <v/>
      </c>
      <c r="E8" s="59" t="inlineStr">
        <is>
          <t>Remoto (Desarrollo en Casa)</t>
        </is>
      </c>
      <c r="F8" s="22" t="inlineStr">
        <is>
          <t>16:00 - 19:30</t>
        </is>
      </c>
      <c r="G8" s="26" t="n">
        <v>3.5</v>
      </c>
      <c r="H8" s="60" t="inlineStr">
        <is>
          <t>Jornada vespertina en casa: ajuste inmediato de interfaces en Figma y maquetación HTML/CSS según las observaciones del personal.</t>
        </is>
      </c>
      <c r="I8" s="30" t="inlineStr">
        <is>
          <t>Ejecutado y Validado</t>
        </is>
      </c>
    </row>
    <row r="9" ht="21" customHeight="1">
      <c r="A9" s="51" t="n">
        <v>5</v>
      </c>
      <c r="B9" s="31" t="inlineStr">
        <is>
          <t>Semana 01</t>
        </is>
      </c>
      <c r="C9" s="52" t="n">
        <v>46212</v>
      </c>
      <c r="D9" s="53">
        <f>CHOOSE(WEEKDAY(C9,2),"Lunes","Martes","Miércoles","Jueves","Viernes","Sábado","Domingo")</f>
        <v/>
      </c>
      <c r="E9" s="59" t="inlineStr">
        <is>
          <t>Remoto (Desarrollo en Casa)</t>
        </is>
      </c>
      <c r="F9" s="32" t="inlineStr">
        <is>
          <t>14:30 - 20:00</t>
        </is>
      </c>
      <c r="G9" s="34" t="n">
        <v>5.5</v>
      </c>
      <c r="H9" s="55" t="inlineStr">
        <is>
          <t>Sesión continua de 5.5 horas de desarrollo: rediseño de componentes de navegación y preparación de arquitectura modular.</t>
        </is>
      </c>
      <c r="I9" s="30" t="inlineStr">
        <is>
          <t>Ejecutado y Validado</t>
        </is>
      </c>
    </row>
    <row r="10" ht="21" customHeight="1">
      <c r="A10" s="56" t="n">
        <v>6</v>
      </c>
      <c r="B10" s="21" t="inlineStr">
        <is>
          <t>Semana 01</t>
        </is>
      </c>
      <c r="C10" s="57" t="n">
        <v>46213</v>
      </c>
      <c r="D10" s="58">
        <f>CHOOSE(WEEKDAY(C10,2),"Lunes","Martes","Miércoles","Jueves","Viernes","Sábado","Domingo")</f>
        <v/>
      </c>
      <c r="E10" s="54" t="inlineStr">
        <is>
          <t>Oficina (Presencial)</t>
        </is>
      </c>
      <c r="F10" s="22" t="inlineStr">
        <is>
          <t>09:00 - 13:00</t>
        </is>
      </c>
      <c r="G10" s="26" t="n">
        <v>4</v>
      </c>
      <c r="H10" s="60" t="inlineStr">
        <is>
          <t>Segunda ronda de revisión de prototipos con personal operativo; validación de la metodología de prototipado ágil con los usuarios.</t>
        </is>
      </c>
      <c r="I10" s="30" t="inlineStr">
        <is>
          <t>Ejecutado y Validado</t>
        </is>
      </c>
    </row>
    <row r="11" ht="21" customHeight="1">
      <c r="A11" s="51" t="n">
        <v>7</v>
      </c>
      <c r="B11" s="31" t="inlineStr">
        <is>
          <t>Semana 02</t>
        </is>
      </c>
      <c r="C11" s="52" t="n">
        <v>46216</v>
      </c>
      <c r="D11" s="53">
        <f>CHOOSE(WEEKDAY(C11,2),"Lunes","Martes","Miércoles","Jueves","Viernes","Sábado","Domingo")</f>
        <v/>
      </c>
      <c r="E11" s="59" t="inlineStr">
        <is>
          <t>Remoto (Desarrollo en Casa)</t>
        </is>
      </c>
      <c r="F11" s="32" t="inlineStr">
        <is>
          <t>14:00 - 20:00</t>
        </is>
      </c>
      <c r="G11" s="34" t="n">
        <v>6</v>
      </c>
      <c r="H11" s="55" t="inlineStr">
        <is>
          <t>6 horas continuas en casa: Inicialización del proyecto base en Django local, estructura de apps, virtualenv, Git y modelos iniciales.</t>
        </is>
      </c>
      <c r="I11" s="30" t="inlineStr">
        <is>
          <t>Ejecutado y Validado</t>
        </is>
      </c>
    </row>
    <row r="12" ht="21" customHeight="1">
      <c r="A12" s="56" t="n">
        <v>8</v>
      </c>
      <c r="B12" s="21" t="inlineStr">
        <is>
          <t>Semana 02</t>
        </is>
      </c>
      <c r="C12" s="57" t="n">
        <v>46217</v>
      </c>
      <c r="D12" s="58">
        <f>CHOOSE(WEEKDAY(C12,2),"Lunes","Martes","Miércoles","Jueves","Viernes","Sábado","Domingo")</f>
        <v/>
      </c>
      <c r="E12" s="54" t="inlineStr">
        <is>
          <t>Oficina (Presencial)</t>
        </is>
      </c>
      <c r="F12" s="22" t="inlineStr">
        <is>
          <t>09:00 - 13:00</t>
        </is>
      </c>
      <c r="G12" s="26" t="n">
        <v>4</v>
      </c>
      <c r="H12" s="60" t="inlineStr">
        <is>
          <t>Recopilación de formatos oficiales impresos de trámites de Protección Civil (vistos buenos de seguridad, inspecciones y anuencias comerciales).</t>
        </is>
      </c>
      <c r="I12" s="30" t="inlineStr">
        <is>
          <t>Ejecutado y Validado</t>
        </is>
      </c>
    </row>
    <row r="13" ht="21" customHeight="1">
      <c r="A13" s="51" t="n">
        <v>9</v>
      </c>
      <c r="B13" s="31" t="inlineStr">
        <is>
          <t>Semana 02</t>
        </is>
      </c>
      <c r="C13" s="52" t="n">
        <v>46218</v>
      </c>
      <c r="D13" s="53">
        <f>CHOOSE(WEEKDAY(C13,2),"Lunes","Martes","Miércoles","Jueves","Viernes","Sábado","Domingo")</f>
        <v/>
      </c>
      <c r="E13" s="59" t="inlineStr">
        <is>
          <t>Remoto (Desarrollo en Casa)</t>
        </is>
      </c>
      <c r="F13" s="32" t="inlineStr">
        <is>
          <t>15:00 - 20:30</t>
        </is>
      </c>
      <c r="G13" s="34" t="n">
        <v>5.5</v>
      </c>
      <c r="H13" s="55" t="inlineStr">
        <is>
          <t>Programación del módulo de trámites ciudadanos en entorno local (formularios Django, vistas de captura y validaciones).</t>
        </is>
      </c>
      <c r="I13" s="30" t="inlineStr">
        <is>
          <t>Ejecutado y Validado</t>
        </is>
      </c>
    </row>
    <row r="14" ht="21" customHeight="1">
      <c r="A14" s="56" t="n">
        <v>10</v>
      </c>
      <c r="B14" s="21" t="inlineStr">
        <is>
          <t>Semana 02</t>
        </is>
      </c>
      <c r="C14" s="57" t="n">
        <v>46219</v>
      </c>
      <c r="D14" s="58">
        <f>CHOOSE(WEEKDAY(C14,2),"Lunes","Martes","Miércoles","Jueves","Viernes","Sábado","Domingo")</f>
        <v/>
      </c>
      <c r="E14" s="54" t="inlineStr">
        <is>
          <t>Oficina (Presencial)</t>
        </is>
      </c>
      <c r="F14" s="22" t="inlineStr">
        <is>
          <t>09:00 - 13:00</t>
        </is>
      </c>
      <c r="G14" s="26" t="n">
        <v>4</v>
      </c>
      <c r="H14" s="60" t="inlineStr">
        <is>
          <t>Revisión de requisitos legales y estructura de sellos/firmas de las actas de trámite con el área administrativa.</t>
        </is>
      </c>
      <c r="I14" s="30" t="inlineStr">
        <is>
          <t>Ejecutado y Validado</t>
        </is>
      </c>
    </row>
    <row r="15" ht="21" customHeight="1">
      <c r="A15" s="51" t="n">
        <v>11</v>
      </c>
      <c r="B15" s="31" t="inlineStr">
        <is>
          <t>Semana 02</t>
        </is>
      </c>
      <c r="C15" s="52" t="n">
        <v>46219</v>
      </c>
      <c r="D15" s="53">
        <f>CHOOSE(WEEKDAY(C15,2),"Lunes","Martes","Miércoles","Jueves","Viernes","Sábado","Domingo")</f>
        <v/>
      </c>
      <c r="E15" s="59" t="inlineStr">
        <is>
          <t>Remoto (Desarrollo en Casa)</t>
        </is>
      </c>
      <c r="F15" s="32" t="inlineStr">
        <is>
          <t>16:00 - 20:00</t>
        </is>
      </c>
      <c r="G15" s="34" t="n">
        <v>4</v>
      </c>
      <c r="H15" s="55" t="inlineStr">
        <is>
          <t>Integración de biblioteca de generación de PDFs automáticos (ReportLab/WeasyPrint) en local; pruebas de alineación y formatos oficiales.</t>
        </is>
      </c>
      <c r="I15" s="30" t="inlineStr">
        <is>
          <t>Ejecutado y Validado</t>
        </is>
      </c>
    </row>
    <row r="16" ht="21" customHeight="1">
      <c r="A16" s="56" t="n">
        <v>12</v>
      </c>
      <c r="B16" s="21" t="inlineStr">
        <is>
          <t>Semana 02</t>
        </is>
      </c>
      <c r="C16" s="57" t="n">
        <v>46220</v>
      </c>
      <c r="D16" s="58">
        <f>CHOOSE(WEEKDAY(C16,2),"Lunes","Martes","Miércoles","Jueves","Viernes","Sábado","Domingo")</f>
        <v/>
      </c>
      <c r="E16" s="59" t="inlineStr">
        <is>
          <t>Remoto (Desarrollo en Casa)</t>
        </is>
      </c>
      <c r="F16" s="22" t="inlineStr">
        <is>
          <t>15:00 - 20:00</t>
        </is>
      </c>
      <c r="G16" s="26" t="n">
        <v>5</v>
      </c>
      <c r="H16" s="60" t="inlineStr">
        <is>
          <t>Pruebas de generación y descarga de PDFs de trámites; solución de bugs de renderizado de tablas, foliado y codificación de caracteres.</t>
        </is>
      </c>
      <c r="I16" s="30" t="inlineStr">
        <is>
          <t>Ejecutado y Validado</t>
        </is>
      </c>
    </row>
    <row r="17" ht="21" customHeight="1">
      <c r="A17" s="51" t="n">
        <v>13</v>
      </c>
      <c r="B17" s="31" t="inlineStr">
        <is>
          <t>Semana 03</t>
        </is>
      </c>
      <c r="C17" s="52" t="n">
        <v>46223</v>
      </c>
      <c r="D17" s="53">
        <f>CHOOSE(WEEKDAY(C17,2),"Lunes","Martes","Miércoles","Jueves","Viernes","Sábado","Domingo")</f>
        <v/>
      </c>
      <c r="E17" s="54" t="inlineStr">
        <is>
          <t>Oficina (Presencial)</t>
        </is>
      </c>
      <c r="F17" s="32" t="inlineStr">
        <is>
          <t>09:00 - 13:00</t>
        </is>
      </c>
      <c r="G17" s="34" t="n">
        <v>4</v>
      </c>
      <c r="H17" s="55" t="inlineStr">
        <is>
          <t>Demostración del prototipo funcional local al Director Daniel Eduardo Romero Pilar. Exposición de ventajas de digitalizar trámites y reportes.</t>
        </is>
      </c>
      <c r="I17" s="30" t="inlineStr">
        <is>
          <t>Ejecutado y Validado</t>
        </is>
      </c>
    </row>
    <row r="18" ht="21" customHeight="1">
      <c r="A18" s="56" t="n">
        <v>14</v>
      </c>
      <c r="B18" s="21" t="inlineStr">
        <is>
          <t>Semana 03</t>
        </is>
      </c>
      <c r="C18" s="57" t="n">
        <v>46224</v>
      </c>
      <c r="D18" s="58">
        <f>CHOOSE(WEEKDAY(C18,2),"Lunes","Martes","Miércoles","Jueves","Viernes","Sábado","Domingo")</f>
        <v/>
      </c>
      <c r="E18" s="59" t="inlineStr">
        <is>
          <t>Remoto (Desarrollo en Casa)</t>
        </is>
      </c>
      <c r="F18" s="22" t="inlineStr">
        <is>
          <t>15:00 - 20:00</t>
        </is>
      </c>
      <c r="G18" s="26" t="n">
        <v>5</v>
      </c>
      <c r="H18" s="60" t="inlineStr">
        <is>
          <t>Elaboración de propuesta técnica y dimensionamiento de servidor Cloud (VPS DigitalOcean) para pruebas operativas cerradas.</t>
        </is>
      </c>
      <c r="I18" s="30" t="inlineStr">
        <is>
          <t>Ejecutado y Validado</t>
        </is>
      </c>
    </row>
    <row r="19" ht="21" customHeight="1">
      <c r="A19" s="51" t="n">
        <v>15</v>
      </c>
      <c r="B19" s="31" t="inlineStr">
        <is>
          <t>Semana 03</t>
        </is>
      </c>
      <c r="C19" s="52" t="n">
        <v>46225</v>
      </c>
      <c r="D19" s="53">
        <f>CHOOSE(WEEKDAY(C19,2),"Lunes","Martes","Miércoles","Jueves","Viernes","Sábado","Domingo")</f>
        <v/>
      </c>
      <c r="E19" s="54" t="inlineStr">
        <is>
          <t>Oficina (Presencial)</t>
        </is>
      </c>
      <c r="F19" s="32" t="inlineStr">
        <is>
          <t>09:00 - 13:00</t>
        </is>
      </c>
      <c r="G19" s="34" t="n">
        <v>4</v>
      </c>
      <c r="H19" s="55" t="inlineStr">
        <is>
          <t>Reunión ejecutiva con el Director Romero Pilar; se obtiene autorización para contratar servidor en DigitalOcean para pruebas y presentación a Presidencia / Alcalde.</t>
        </is>
      </c>
      <c r="I19" s="30" t="inlineStr">
        <is>
          <t>Ejecutado y Validado</t>
        </is>
      </c>
    </row>
    <row r="20" ht="21" customHeight="1">
      <c r="A20" s="56" t="n">
        <v>16</v>
      </c>
      <c r="B20" s="21" t="inlineStr">
        <is>
          <t>Semana 03</t>
        </is>
      </c>
      <c r="C20" s="57" t="n">
        <v>46226</v>
      </c>
      <c r="D20" s="58">
        <f>CHOOSE(WEEKDAY(C20,2),"Lunes","Martes","Miércoles","Jueves","Viernes","Sábado","Domingo")</f>
        <v/>
      </c>
      <c r="E20" s="59" t="inlineStr">
        <is>
          <t>Remoto (Desarrollo en Casa)</t>
        </is>
      </c>
      <c r="F20" s="22" t="inlineStr">
        <is>
          <t>14:00 - 20:00</t>
        </is>
      </c>
      <c r="G20" s="26" t="n">
        <v>6</v>
      </c>
      <c r="H20" s="60" t="inlineStr">
        <is>
          <t>6 horas continuas: Aprovisionamiento de Droplet en DigitalOcean (Ubuntu), llaves SSH, firewall UFW, entorno Python y base de datos relacional.</t>
        </is>
      </c>
      <c r="I20" s="30" t="inlineStr">
        <is>
          <t>Ejecutado y Validado</t>
        </is>
      </c>
    </row>
    <row r="21" ht="21" customHeight="1">
      <c r="A21" s="51" t="n">
        <v>17</v>
      </c>
      <c r="B21" s="31" t="inlineStr">
        <is>
          <t>Semana 03</t>
        </is>
      </c>
      <c r="C21" s="52" t="n">
        <v>46227</v>
      </c>
      <c r="D21" s="53">
        <f>CHOOSE(WEEKDAY(C21,2),"Lunes","Martes","Miércoles","Jueves","Viernes","Sábado","Domingo")</f>
        <v/>
      </c>
      <c r="E21" s="59" t="inlineStr">
        <is>
          <t>Remoto (Desarrollo en Casa)</t>
        </is>
      </c>
      <c r="F21" s="32" t="inlineStr">
        <is>
          <t>15:00 - 20:30</t>
        </is>
      </c>
      <c r="G21" s="34" t="n">
        <v>5.5</v>
      </c>
      <c r="H21" s="55" t="inlineStr">
        <is>
          <t>Despliegue inicial de versión staging en DigitalOcean, configuración de Gunicorn y Nginx para pruebas operativas internas.</t>
        </is>
      </c>
      <c r="I21" s="30" t="inlineStr">
        <is>
          <t>Ejecutado y Validado</t>
        </is>
      </c>
    </row>
    <row r="22" ht="21" customHeight="1">
      <c r="A22" s="56" t="n">
        <v>18</v>
      </c>
      <c r="B22" s="21" t="inlineStr">
        <is>
          <t>Semana 04</t>
        </is>
      </c>
      <c r="C22" s="57" t="n">
        <v>46230</v>
      </c>
      <c r="D22" s="58">
        <f>CHOOSE(WEEKDAY(C22,2),"Lunes","Martes","Miércoles","Jueves","Viernes","Sábado","Domingo")</f>
        <v/>
      </c>
      <c r="E22" s="54" t="inlineStr">
        <is>
          <t>Oficina (Presencial)</t>
        </is>
      </c>
      <c r="F22" s="22" t="inlineStr">
        <is>
          <t>09:00 - 13:00</t>
        </is>
      </c>
      <c r="G22" s="26" t="n">
        <v>4</v>
      </c>
      <c r="H22" s="60" t="inlineStr">
        <is>
          <t>Entrevistas con el personal administrativo (licenciadas de la oficina) para identificar tareas repetitivas y control de correspondencia.</t>
        </is>
      </c>
      <c r="I22" s="30" t="inlineStr">
        <is>
          <t>Ejecutado y Validado</t>
        </is>
      </c>
    </row>
    <row r="23" ht="21" customHeight="1">
      <c r="A23" s="51" t="n">
        <v>19</v>
      </c>
      <c r="B23" s="31" t="inlineStr">
        <is>
          <t>Semana 04</t>
        </is>
      </c>
      <c r="C23" s="52" t="n">
        <v>46231</v>
      </c>
      <c r="D23" s="53">
        <f>CHOOSE(WEEKDAY(C23,2),"Lunes","Martes","Miércoles","Jueves","Viernes","Sábado","Domingo")</f>
        <v/>
      </c>
      <c r="E23" s="59" t="inlineStr">
        <is>
          <t>Remoto (Desarrollo en Casa)</t>
        </is>
      </c>
      <c r="F23" s="32" t="inlineStr">
        <is>
          <t>15:00 - 20:30</t>
        </is>
      </c>
      <c r="G23" s="34" t="n">
        <v>5.5</v>
      </c>
      <c r="H23" s="55" t="inlineStr">
        <is>
          <t>Desarrollo de submódulo de control de oficios entrantes/salientes y asignación automática de folios para las licenciadas.</t>
        </is>
      </c>
      <c r="I23" s="30" t="inlineStr">
        <is>
          <t>Ejecutado y Validado</t>
        </is>
      </c>
    </row>
    <row r="24" ht="21" customHeight="1">
      <c r="A24" s="56" t="n">
        <v>20</v>
      </c>
      <c r="B24" s="21" t="inlineStr">
        <is>
          <t>Semana 04</t>
        </is>
      </c>
      <c r="C24" s="57" t="n">
        <v>46232</v>
      </c>
      <c r="D24" s="58">
        <f>CHOOSE(WEEKDAY(C24,2),"Lunes","Martes","Miércoles","Jueves","Viernes","Sábado","Domingo")</f>
        <v/>
      </c>
      <c r="E24" s="54" t="inlineStr">
        <is>
          <t>Oficina (Presencial)</t>
        </is>
      </c>
      <c r="F24" s="22" t="inlineStr">
        <is>
          <t>09:00 - 13:00</t>
        </is>
      </c>
      <c r="G24" s="26" t="n">
        <v>4</v>
      </c>
      <c r="H24" s="60" t="inlineStr">
        <is>
          <t>Pruebas de captura de expedientes con las licenciadas de oficina; recopilación de sugerencias ergonómicas y filtros de búsqueda.</t>
        </is>
      </c>
      <c r="I24" s="30" t="inlineStr">
        <is>
          <t>Ejecutado y Validado</t>
        </is>
      </c>
    </row>
    <row r="25" ht="21" customHeight="1">
      <c r="A25" s="51" t="n">
        <v>21</v>
      </c>
      <c r="B25" s="31" t="inlineStr">
        <is>
          <t>Semana 04</t>
        </is>
      </c>
      <c r="C25" s="52" t="n">
        <v>46232</v>
      </c>
      <c r="D25" s="53">
        <f>CHOOSE(WEEKDAY(C25,2),"Lunes","Martes","Miércoles","Jueves","Viernes","Sábado","Domingo")</f>
        <v/>
      </c>
      <c r="E25" s="59" t="inlineStr">
        <is>
          <t>Remoto (Desarrollo en Casa)</t>
        </is>
      </c>
      <c r="F25" s="32" t="inlineStr">
        <is>
          <t>16:00 - 20:00</t>
        </is>
      </c>
      <c r="G25" s="34" t="n">
        <v>4</v>
      </c>
      <c r="H25" s="55" t="inlineStr">
        <is>
          <t>Solución de errores en filtrado de expedientes por estatus (aprobado, en trámite, rechazado) y optimización de tablas responsivas.</t>
        </is>
      </c>
      <c r="I25" s="30" t="inlineStr">
        <is>
          <t>Ejecutado y Validado</t>
        </is>
      </c>
    </row>
    <row r="26" ht="21" customHeight="1">
      <c r="A26" s="56" t="n">
        <v>22</v>
      </c>
      <c r="B26" s="21" t="inlineStr">
        <is>
          <t>Semana 04</t>
        </is>
      </c>
      <c r="C26" s="57" t="n">
        <v>46233</v>
      </c>
      <c r="D26" s="58">
        <f>CHOOSE(WEEKDAY(C26,2),"Lunes","Martes","Miércoles","Jueves","Viernes","Sábado","Domingo")</f>
        <v/>
      </c>
      <c r="E26" s="59" t="inlineStr">
        <is>
          <t>Remoto (Desarrollo en Casa)</t>
        </is>
      </c>
      <c r="F26" s="22" t="inlineStr">
        <is>
          <t>15:00 - 20:00</t>
        </is>
      </c>
      <c r="G26" s="26" t="n">
        <v>5</v>
      </c>
      <c r="H26" s="60" t="inlineStr">
        <is>
          <t>Implementación del visor de historial de expedientes y descarga masiva de constancias para el área jurídica/administrativa.</t>
        </is>
      </c>
      <c r="I26" s="30" t="inlineStr">
        <is>
          <t>Ejecutado y Validado</t>
        </is>
      </c>
    </row>
    <row r="27" ht="21" customHeight="1">
      <c r="A27" s="51" t="n">
        <v>23</v>
      </c>
      <c r="B27" s="31" t="inlineStr">
        <is>
          <t>Semana 04</t>
        </is>
      </c>
      <c r="C27" s="52" t="n">
        <v>46234</v>
      </c>
      <c r="D27" s="53">
        <f>CHOOSE(WEEKDAY(C27,2),"Lunes","Martes","Miércoles","Jueves","Viernes","Sábado","Domingo")</f>
        <v/>
      </c>
      <c r="E27" s="54" t="inlineStr">
        <is>
          <t>Oficina (Presencial)</t>
        </is>
      </c>
      <c r="F27" s="32" t="inlineStr">
        <is>
          <t>09:00 - 13:00</t>
        </is>
      </c>
      <c r="G27" s="34" t="n">
        <v>4</v>
      </c>
      <c r="H27" s="55" t="inlineStr">
        <is>
          <t>Demostración de herramientas al equipo administrativo y capacitación guiada en el uso de los nuevos módulos de oficina.</t>
        </is>
      </c>
      <c r="I27" s="30" t="inlineStr">
        <is>
          <t>Ejecutado y Validado</t>
        </is>
      </c>
    </row>
    <row r="28" ht="21" customHeight="1">
      <c r="A28" s="56" t="n">
        <v>24</v>
      </c>
      <c r="B28" s="21" t="inlineStr">
        <is>
          <t>Semana 05</t>
        </is>
      </c>
      <c r="C28" s="57" t="n">
        <v>46237</v>
      </c>
      <c r="D28" s="58">
        <f>CHOOSE(WEEKDAY(C28,2),"Lunes","Martes","Miércoles","Jueves","Viernes","Sábado","Domingo")</f>
        <v/>
      </c>
      <c r="E28" s="59" t="inlineStr">
        <is>
          <t>Remoto (Desarrollo en Casa)</t>
        </is>
      </c>
      <c r="F28" s="22" t="inlineStr">
        <is>
          <t>14:30 - 20:00</t>
        </is>
      </c>
      <c r="G28" s="26" t="n">
        <v>5.5</v>
      </c>
      <c r="H28" s="60" t="inlineStr">
        <is>
          <t>Optimización del panel de administración Django y migración de esquemas de datos en servidor DigitalOcean.</t>
        </is>
      </c>
      <c r="I28" s="30" t="inlineStr">
        <is>
          <t>Ejecutado y Validado</t>
        </is>
      </c>
    </row>
    <row r="29" ht="21" customHeight="1">
      <c r="A29" s="51" t="n">
        <v>25</v>
      </c>
      <c r="B29" s="31" t="inlineStr">
        <is>
          <t>Semana 05</t>
        </is>
      </c>
      <c r="C29" s="52" t="n">
        <v>46238</v>
      </c>
      <c r="D29" s="53">
        <f>CHOOSE(WEEKDAY(C29,2),"Lunes","Martes","Miércoles","Jueves","Viernes","Sábado","Domingo")</f>
        <v/>
      </c>
      <c r="E29" s="54" t="inlineStr">
        <is>
          <t>Oficina (Presencial)</t>
        </is>
      </c>
      <c r="F29" s="32" t="inlineStr">
        <is>
          <t>09:00 - 13:00</t>
        </is>
      </c>
      <c r="G29" s="34" t="n">
        <v>4</v>
      </c>
      <c r="H29" s="55" t="inlineStr">
        <is>
          <t>Apoyo operativo y administrativo en recepción de solicitudes de inspección ciudadana y archivo físico.</t>
        </is>
      </c>
      <c r="I29" s="30" t="inlineStr">
        <is>
          <t>Ejecutado y Validado</t>
        </is>
      </c>
    </row>
    <row r="30" ht="21" customHeight="1">
      <c r="A30" s="56" t="n">
        <v>26</v>
      </c>
      <c r="B30" s="21" t="inlineStr">
        <is>
          <t>Semana 05</t>
        </is>
      </c>
      <c r="C30" s="57" t="n">
        <v>46239</v>
      </c>
      <c r="D30" s="58">
        <f>CHOOSE(WEEKDAY(C30,2),"Lunes","Martes","Miércoles","Jueves","Viernes","Sábado","Domingo")</f>
        <v/>
      </c>
      <c r="E30" s="59" t="inlineStr">
        <is>
          <t>Remoto (Desarrollo en Casa)</t>
        </is>
      </c>
      <c r="F30" s="22" t="inlineStr">
        <is>
          <t>14:00 - 20:00</t>
        </is>
      </c>
      <c r="G30" s="26" t="n">
        <v>6</v>
      </c>
      <c r="H30" s="60" t="inlineStr">
        <is>
          <t>6 horas continuas: Batallando con problemas de configuración de CORS, sockets de Gunicorn y reinicio automático de servicios.</t>
        </is>
      </c>
      <c r="I30" s="30" t="inlineStr">
        <is>
          <t>Ejecutado y Validado</t>
        </is>
      </c>
    </row>
    <row r="31" ht="21" customHeight="1">
      <c r="A31" s="51" t="n">
        <v>27</v>
      </c>
      <c r="B31" s="31" t="inlineStr">
        <is>
          <t>Semana 05</t>
        </is>
      </c>
      <c r="C31" s="52" t="n">
        <v>46240</v>
      </c>
      <c r="D31" s="53">
        <f>CHOOSE(WEEKDAY(C31,2),"Lunes","Martes","Miércoles","Jueves","Viernes","Sábado","Domingo")</f>
        <v/>
      </c>
      <c r="E31" s="54" t="inlineStr">
        <is>
          <t>Oficina (Presencial)</t>
        </is>
      </c>
      <c r="F31" s="32" t="inlineStr">
        <is>
          <t>09:00 - 13:00</t>
        </is>
      </c>
      <c r="G31" s="34" t="n">
        <v>4</v>
      </c>
      <c r="H31" s="55" t="inlineStr">
        <is>
          <t>Captura de oficios de supervisión de riesgos y archivo de expedientes físicos en la dependencia.</t>
        </is>
      </c>
      <c r="I31" s="30" t="inlineStr">
        <is>
          <t>Ejecutado y Validado</t>
        </is>
      </c>
    </row>
    <row r="32" ht="21" customHeight="1">
      <c r="A32" s="56" t="n">
        <v>28</v>
      </c>
      <c r="B32" s="21" t="inlineStr">
        <is>
          <t>Semana 05</t>
        </is>
      </c>
      <c r="C32" s="57" t="n">
        <v>46240</v>
      </c>
      <c r="D32" s="58">
        <f>CHOOSE(WEEKDAY(C32,2),"Lunes","Martes","Miércoles","Jueves","Viernes","Sábado","Domingo")</f>
        <v/>
      </c>
      <c r="E32" s="59" t="inlineStr">
        <is>
          <t>Remoto (Desarrollo en Casa)</t>
        </is>
      </c>
      <c r="F32" s="22" t="inlineStr">
        <is>
          <t>16:00 - 20:00</t>
        </is>
      </c>
      <c r="G32" s="26" t="n">
        <v>4</v>
      </c>
      <c r="H32" s="60" t="inlineStr">
        <is>
          <t>Creación de scripts de sincronización de datos y respaldo de base de datos SQLite/PostgreSQL.</t>
        </is>
      </c>
      <c r="I32" s="30" t="inlineStr">
        <is>
          <t>Ejecutado y Validado</t>
        </is>
      </c>
    </row>
    <row r="33" ht="21" customHeight="1">
      <c r="A33" s="51" t="n">
        <v>29</v>
      </c>
      <c r="B33" s="31" t="inlineStr">
        <is>
          <t>Semana 05</t>
        </is>
      </c>
      <c r="C33" s="52" t="n">
        <v>46241</v>
      </c>
      <c r="D33" s="53">
        <f>CHOOSE(WEEKDAY(C33,2),"Lunes","Martes","Miércoles","Jueves","Viernes","Sábado","Domingo")</f>
        <v/>
      </c>
      <c r="E33" s="59" t="inlineStr">
        <is>
          <t>Remoto (Desarrollo en Casa)</t>
        </is>
      </c>
      <c r="F33" s="32" t="inlineStr">
        <is>
          <t>15:30 - 20:00</t>
        </is>
      </c>
      <c r="G33" s="34" t="n">
        <v>4.5</v>
      </c>
      <c r="H33" s="55" t="inlineStr">
        <is>
          <t>Depuración de permisos de usuario para diferenciar acceso de administradores vs capturistas operativos.</t>
        </is>
      </c>
      <c r="I33" s="30" t="inlineStr">
        <is>
          <t>Ejecutado y Validado</t>
        </is>
      </c>
    </row>
    <row r="34" ht="21" customHeight="1">
      <c r="A34" s="56" t="n">
        <v>30</v>
      </c>
      <c r="B34" s="21" t="inlineStr">
        <is>
          <t>Semana 06</t>
        </is>
      </c>
      <c r="C34" s="57" t="n">
        <v>46244</v>
      </c>
      <c r="D34" s="58">
        <f>CHOOSE(WEEKDAY(C34,2),"Lunes","Martes","Miércoles","Jueves","Viernes","Sábado","Domingo")</f>
        <v/>
      </c>
      <c r="E34" s="59" t="inlineStr">
        <is>
          <t>Remoto (Desarrollo en Casa)</t>
        </is>
      </c>
      <c r="F34" s="22" t="inlineStr">
        <is>
          <t>15:00 - 20:00</t>
        </is>
      </c>
      <c r="G34" s="26" t="n">
        <v>5</v>
      </c>
      <c r="H34" s="60" t="inlineStr">
        <is>
          <t>Desarrollo del módulo de registro de personal operativo, guardias y asignación de turnos de servicio.</t>
        </is>
      </c>
      <c r="I34" s="30" t="inlineStr">
        <is>
          <t>Ejecutado y Validado</t>
        </is>
      </c>
    </row>
    <row r="35" ht="21" customHeight="1">
      <c r="A35" s="51" t="n">
        <v>31</v>
      </c>
      <c r="B35" s="31" t="inlineStr">
        <is>
          <t>Semana 06</t>
        </is>
      </c>
      <c r="C35" s="52" t="n">
        <v>46245</v>
      </c>
      <c r="D35" s="53">
        <f>CHOOSE(WEEKDAY(C35,2),"Lunes","Martes","Miércoles","Jueves","Viernes","Sábado","Domingo")</f>
        <v/>
      </c>
      <c r="E35" s="54" t="inlineStr">
        <is>
          <t>Oficina (Presencial)</t>
        </is>
      </c>
      <c r="F35" s="32" t="inlineStr">
        <is>
          <t>09:00 - 13:00</t>
        </is>
      </c>
      <c r="G35" s="34" t="n">
        <v>4</v>
      </c>
      <c r="H35" s="55" t="inlineStr">
        <is>
          <t>Cotejo de padrón físico de bomberos, paramédicos y personal voluntario de Protección Civil.</t>
        </is>
      </c>
      <c r="I35" s="30" t="inlineStr">
        <is>
          <t>Ejecutado y Validado</t>
        </is>
      </c>
    </row>
    <row r="36" ht="21" customHeight="1">
      <c r="A36" s="56" t="n">
        <v>32</v>
      </c>
      <c r="B36" s="21" t="inlineStr">
        <is>
          <t>Semana 06</t>
        </is>
      </c>
      <c r="C36" s="57" t="n">
        <v>46246</v>
      </c>
      <c r="D36" s="58">
        <f>CHOOSE(WEEKDAY(C36,2),"Lunes","Martes","Miércoles","Jueves","Viernes","Sábado","Domingo")</f>
        <v/>
      </c>
      <c r="E36" s="59" t="inlineStr">
        <is>
          <t>Remoto (Desarrollo en Casa)</t>
        </is>
      </c>
      <c r="F36" s="22" t="inlineStr">
        <is>
          <t>14:30 - 20:00</t>
        </is>
      </c>
      <c r="G36" s="26" t="n">
        <v>5.5</v>
      </c>
      <c r="H36" s="60" t="inlineStr">
        <is>
          <t>Programación de vistas de consulta de personal activo y disponibilidad de guardia por cuadrante.</t>
        </is>
      </c>
      <c r="I36" s="30" t="inlineStr">
        <is>
          <t>Ejecutado y Validado</t>
        </is>
      </c>
    </row>
    <row r="37" ht="21" customHeight="1">
      <c r="A37" s="51" t="n">
        <v>33</v>
      </c>
      <c r="B37" s="31" t="inlineStr">
        <is>
          <t>Semana 06</t>
        </is>
      </c>
      <c r="C37" s="52" t="n">
        <v>46247</v>
      </c>
      <c r="D37" s="53">
        <f>CHOOSE(WEEKDAY(C37,2),"Lunes","Martes","Miércoles","Jueves","Viernes","Sábado","Domingo")</f>
        <v/>
      </c>
      <c r="E37" s="54" t="inlineStr">
        <is>
          <t>Oficina (Presencial)</t>
        </is>
      </c>
      <c r="F37" s="32" t="inlineStr">
        <is>
          <t>09:00 - 13:00</t>
        </is>
      </c>
      <c r="G37" s="34" t="n">
        <v>4</v>
      </c>
      <c r="H37" s="55" t="inlineStr">
        <is>
          <t>Apoyo administrativo en la elaboración de oficios de comisión y bitácoras de guardia operativa.</t>
        </is>
      </c>
      <c r="I37" s="30" t="inlineStr">
        <is>
          <t>Ejecutado y Validado</t>
        </is>
      </c>
    </row>
    <row r="38" ht="21" customHeight="1">
      <c r="A38" s="56" t="n">
        <v>34</v>
      </c>
      <c r="B38" s="21" t="inlineStr">
        <is>
          <t>Semana 06</t>
        </is>
      </c>
      <c r="C38" s="57" t="n">
        <v>46248</v>
      </c>
      <c r="D38" s="58">
        <f>CHOOSE(WEEKDAY(C38,2),"Lunes","Martes","Miércoles","Jueves","Viernes","Sábado","Domingo")</f>
        <v/>
      </c>
      <c r="E38" s="59" t="inlineStr">
        <is>
          <t>Remoto (Desarrollo en Casa)</t>
        </is>
      </c>
      <c r="F38" s="22" t="inlineStr">
        <is>
          <t>14:00 - 20:00</t>
        </is>
      </c>
      <c r="G38" s="26" t="n">
        <v>6</v>
      </c>
      <c r="H38" s="60" t="inlineStr">
        <is>
          <t>6 horas continuas: Solución de errores de migración en DigitalOcean y rediseño de vistas de tabla con paginación optimizada.</t>
        </is>
      </c>
      <c r="I38" s="30" t="inlineStr">
        <is>
          <t>Ejecutado y Validado</t>
        </is>
      </c>
    </row>
    <row r="39" ht="21" customHeight="1">
      <c r="A39" s="51" t="n">
        <v>35</v>
      </c>
      <c r="B39" s="31" t="inlineStr">
        <is>
          <t>Semana 07</t>
        </is>
      </c>
      <c r="C39" s="52" t="n">
        <v>46251</v>
      </c>
      <c r="D39" s="53">
        <f>CHOOSE(WEEKDAY(C39,2),"Lunes","Martes","Miércoles","Jueves","Viernes","Sábado","Domingo")</f>
        <v/>
      </c>
      <c r="E39" s="59" t="inlineStr">
        <is>
          <t>Remoto (Desarrollo en Casa)</t>
        </is>
      </c>
      <c r="F39" s="32" t="inlineStr">
        <is>
          <t>14:30 - 20:00</t>
        </is>
      </c>
      <c r="G39" s="34" t="n">
        <v>5.5</v>
      </c>
      <c r="H39" s="55" t="inlineStr">
        <is>
          <t>Desarrollo del catálogo de unidades de emergencia (ambulancias, motobombas, camionetas de rescate).</t>
        </is>
      </c>
      <c r="I39" s="30" t="inlineStr">
        <is>
          <t>Ejecutado y Validado</t>
        </is>
      </c>
    </row>
    <row r="40" ht="21" customHeight="1">
      <c r="A40" s="56" t="n">
        <v>36</v>
      </c>
      <c r="B40" s="21" t="inlineStr">
        <is>
          <t>Semana 07</t>
        </is>
      </c>
      <c r="C40" s="57" t="n">
        <v>46252</v>
      </c>
      <c r="D40" s="58">
        <f>CHOOSE(WEEKDAY(C40,2),"Lunes","Martes","Miércoles","Jueves","Viernes","Sábado","Domingo")</f>
        <v/>
      </c>
      <c r="E40" s="54" t="inlineStr">
        <is>
          <t>Oficina (Presencial)</t>
        </is>
      </c>
      <c r="F40" s="22" t="inlineStr">
        <is>
          <t>09:00 - 13:00</t>
        </is>
      </c>
      <c r="G40" s="26" t="n">
        <v>4</v>
      </c>
      <c r="H40" s="60" t="inlineStr">
        <is>
          <t>Inspección física de unidades en base, registro de números económicos, kilometrajes y placas oficiales.</t>
        </is>
      </c>
      <c r="I40" s="30" t="inlineStr">
        <is>
          <t>Ejecutado y Validado</t>
        </is>
      </c>
    </row>
    <row r="41" ht="21" customHeight="1">
      <c r="A41" s="51" t="n">
        <v>37</v>
      </c>
      <c r="B41" s="31" t="inlineStr">
        <is>
          <t>Semana 07</t>
        </is>
      </c>
      <c r="C41" s="52" t="n">
        <v>46252</v>
      </c>
      <c r="D41" s="53">
        <f>CHOOSE(WEEKDAY(C41,2),"Lunes","Martes","Miércoles","Jueves","Viernes","Sábado","Domingo")</f>
        <v/>
      </c>
      <c r="E41" s="59" t="inlineStr">
        <is>
          <t>Remoto (Desarrollo en Casa)</t>
        </is>
      </c>
      <c r="F41" s="32" t="inlineStr">
        <is>
          <t>16:00 - 19:30</t>
        </is>
      </c>
      <c r="G41" s="34" t="n">
        <v>3.5</v>
      </c>
      <c r="H41" s="55" t="inlineStr">
        <is>
          <t>Carga masiva de catálogo vehicular en base de datos y diseño de formularios de bitácora de salida.</t>
        </is>
      </c>
      <c r="I41" s="30" t="inlineStr">
        <is>
          <t>Ejecutado y Validado</t>
        </is>
      </c>
    </row>
    <row r="42" ht="21" customHeight="1">
      <c r="A42" s="56" t="n">
        <v>38</v>
      </c>
      <c r="B42" s="21" t="inlineStr">
        <is>
          <t>Semana 07</t>
        </is>
      </c>
      <c r="C42" s="57" t="n">
        <v>46253</v>
      </c>
      <c r="D42" s="58">
        <f>CHOOSE(WEEKDAY(C42,2),"Lunes","Martes","Miércoles","Jueves","Viernes","Sábado","Domingo")</f>
        <v/>
      </c>
      <c r="E42" s="59" t="inlineStr">
        <is>
          <t>Remoto (Desarrollo en Casa)</t>
        </is>
      </c>
      <c r="F42" s="22" t="inlineStr">
        <is>
          <t>14:00 - 20:00</t>
        </is>
      </c>
      <c r="G42" s="26" t="n">
        <v>6</v>
      </c>
      <c r="H42" s="60" t="inlineStr">
        <is>
          <t>6 horas seguidas: Batallando con lógica de bitácora vehicular y algoritmo de detección de incongruencias de kilometraje.</t>
        </is>
      </c>
      <c r="I42" s="30" t="inlineStr">
        <is>
          <t>Ejecutado y Validado</t>
        </is>
      </c>
    </row>
    <row r="43" ht="21" customHeight="1">
      <c r="A43" s="51" t="n">
        <v>39</v>
      </c>
      <c r="B43" s="31" t="inlineStr">
        <is>
          <t>Semana 07</t>
        </is>
      </c>
      <c r="C43" s="52" t="n">
        <v>46254</v>
      </c>
      <c r="D43" s="53">
        <f>CHOOSE(WEEKDAY(C43,2),"Lunes","Martes","Miércoles","Jueves","Viernes","Sábado","Domingo")</f>
        <v/>
      </c>
      <c r="E43" s="54" t="inlineStr">
        <is>
          <t>Oficina (Presencial)</t>
        </is>
      </c>
      <c r="F43" s="32" t="inlineStr">
        <is>
          <t>09:00 - 13:00</t>
        </is>
      </c>
      <c r="G43" s="34" t="n">
        <v>4</v>
      </c>
      <c r="H43" s="55" t="inlineStr">
        <is>
          <t>Apoyo en despacho de unidades y revisión del registro diario de salidas en radio-cabina.</t>
        </is>
      </c>
      <c r="I43" s="30" t="inlineStr">
        <is>
          <t>Ejecutado y Validado</t>
        </is>
      </c>
    </row>
    <row r="44" ht="21" customHeight="1">
      <c r="A44" s="56" t="n">
        <v>40</v>
      </c>
      <c r="B44" s="21" t="inlineStr">
        <is>
          <t>Semana 07</t>
        </is>
      </c>
      <c r="C44" s="57" t="n">
        <v>46255</v>
      </c>
      <c r="D44" s="58">
        <f>CHOOSE(WEEKDAY(C44,2),"Lunes","Martes","Miércoles","Jueves","Viernes","Sábado","Domingo")</f>
        <v/>
      </c>
      <c r="E44" s="59" t="inlineStr">
        <is>
          <t>Remoto (Desarrollo en Casa)</t>
        </is>
      </c>
      <c r="F44" s="22" t="inlineStr">
        <is>
          <t>15:00 - 20:00</t>
        </is>
      </c>
      <c r="G44" s="26" t="n">
        <v>5</v>
      </c>
      <c r="H44" s="60" t="inlineStr">
        <is>
          <t>Pruebas de integración del submódulo de mantenimiento preventivo y alertas de consumo de combustible.</t>
        </is>
      </c>
      <c r="I44" s="30" t="inlineStr">
        <is>
          <t>Ejecutado y Validado</t>
        </is>
      </c>
    </row>
    <row r="45" ht="21" customHeight="1">
      <c r="A45" s="51" t="n">
        <v>41</v>
      </c>
      <c r="B45" s="31" t="inlineStr">
        <is>
          <t>Semana 08</t>
        </is>
      </c>
      <c r="C45" s="52" t="n">
        <v>46258</v>
      </c>
      <c r="D45" s="53">
        <f>CHOOSE(WEEKDAY(C45,2),"Lunes","Martes","Miércoles","Jueves","Viernes","Sábado","Domingo")</f>
        <v/>
      </c>
      <c r="E45" s="59" t="inlineStr">
        <is>
          <t>Remoto (Desarrollo en Casa)</t>
        </is>
      </c>
      <c r="F45" s="32" t="inlineStr">
        <is>
          <t>14:30 - 20:00</t>
        </is>
      </c>
      <c r="G45" s="34" t="n">
        <v>5.5</v>
      </c>
      <c r="H45" s="55" t="inlineStr">
        <is>
          <t>Desarrollo de endpoints para procesamiento de reportes de emergencia y recepción estructurada de datos.</t>
        </is>
      </c>
      <c r="I45" s="30" t="inlineStr">
        <is>
          <t>Ejecutado y Validado</t>
        </is>
      </c>
    </row>
    <row r="46" ht="21" customHeight="1">
      <c r="A46" s="56" t="n">
        <v>42</v>
      </c>
      <c r="B46" s="21" t="inlineStr">
        <is>
          <t>Semana 08</t>
        </is>
      </c>
      <c r="C46" s="57" t="n">
        <v>46259</v>
      </c>
      <c r="D46" s="58">
        <f>CHOOSE(WEEKDAY(C46,2),"Lunes","Martes","Miércoles","Jueves","Viernes","Sábado","Domingo")</f>
        <v/>
      </c>
      <c r="E46" s="54" t="inlineStr">
        <is>
          <t>Oficina (Presencial)</t>
        </is>
      </c>
      <c r="F46" s="22" t="inlineStr">
        <is>
          <t>09:00 - 13:00</t>
        </is>
      </c>
      <c r="G46" s="26" t="n">
        <v>4</v>
      </c>
      <c r="H46" s="60" t="inlineStr">
        <is>
          <t>Levantamiento de incidentes semanales en base (fugas de gas, accidentes vehiculares, enjambres y rescates).</t>
        </is>
      </c>
      <c r="I46" s="30" t="inlineStr">
        <is>
          <t>Ejecutado y Validado</t>
        </is>
      </c>
    </row>
    <row r="47" ht="21" customHeight="1">
      <c r="A47" s="51" t="n">
        <v>43</v>
      </c>
      <c r="B47" s="31" t="inlineStr">
        <is>
          <t>Semana 08</t>
        </is>
      </c>
      <c r="C47" s="52" t="n">
        <v>46260</v>
      </c>
      <c r="D47" s="53">
        <f>CHOOSE(WEEKDAY(C47,2),"Lunes","Martes","Miércoles","Jueves","Viernes","Sábado","Domingo")</f>
        <v/>
      </c>
      <c r="E47" s="59" t="inlineStr">
        <is>
          <t>Remoto (Desarrollo en Casa)</t>
        </is>
      </c>
      <c r="F47" s="32" t="inlineStr">
        <is>
          <t>14:00 - 20:00</t>
        </is>
      </c>
      <c r="G47" s="34" t="n">
        <v>6</v>
      </c>
      <c r="H47" s="55" t="inlineStr">
        <is>
          <t>6 horas continuas: Integración de canal de recepción de reportes ciudadanos y normalización de textos con regex.</t>
        </is>
      </c>
      <c r="I47" s="30" t="inlineStr">
        <is>
          <t>Ejecutado y Validado</t>
        </is>
      </c>
    </row>
    <row r="48" ht="21" customHeight="1">
      <c r="A48" s="56" t="n">
        <v>44</v>
      </c>
      <c r="B48" s="21" t="inlineStr">
        <is>
          <t>Semana 08</t>
        </is>
      </c>
      <c r="C48" s="57" t="n">
        <v>46261</v>
      </c>
      <c r="D48" s="58">
        <f>CHOOSE(WEEKDAY(C48,2),"Lunes","Martes","Miércoles","Jueves","Viernes","Sábado","Domingo")</f>
        <v/>
      </c>
      <c r="E48" s="54" t="inlineStr">
        <is>
          <t>Oficina (Presencial)</t>
        </is>
      </c>
      <c r="F48" s="22" t="inlineStr">
        <is>
          <t>09:00 - 13:00</t>
        </is>
      </c>
      <c r="G48" s="26" t="n">
        <v>4</v>
      </c>
      <c r="H48" s="60" t="inlineStr">
        <is>
          <t>Apoyo administrativo en clasificación de expedientes y archivo físico de partes de novedades en oficina.</t>
        </is>
      </c>
      <c r="I48" s="30" t="inlineStr">
        <is>
          <t>Ejecutado y Validado</t>
        </is>
      </c>
    </row>
    <row r="49" ht="21" customHeight="1">
      <c r="A49" s="51" t="n">
        <v>45</v>
      </c>
      <c r="B49" s="31" t="inlineStr">
        <is>
          <t>Semana 08</t>
        </is>
      </c>
      <c r="C49" s="52" t="n">
        <v>46261</v>
      </c>
      <c r="D49" s="53">
        <f>CHOOSE(WEEKDAY(C49,2),"Lunes","Martes","Miércoles","Jueves","Viernes","Sábado","Domingo")</f>
        <v/>
      </c>
      <c r="E49" s="59" t="inlineStr">
        <is>
          <t>Remoto (Desarrollo en Casa)</t>
        </is>
      </c>
      <c r="F49" s="32" t="inlineStr">
        <is>
          <t>16:00 - 20:00</t>
        </is>
      </c>
      <c r="G49" s="34" t="n">
        <v>4</v>
      </c>
      <c r="H49" s="55" t="inlineStr">
        <is>
          <t>Depuración de errores en parser de mensajes y formateo de campos de ubicación geográfica.</t>
        </is>
      </c>
      <c r="I49" s="30" t="inlineStr">
        <is>
          <t>Ejecutado y Validado</t>
        </is>
      </c>
    </row>
    <row r="50" ht="21" customHeight="1">
      <c r="A50" s="56" t="n">
        <v>46</v>
      </c>
      <c r="B50" s="21" t="inlineStr">
        <is>
          <t>Semana 08</t>
        </is>
      </c>
      <c r="C50" s="57" t="n">
        <v>46262</v>
      </c>
      <c r="D50" s="58">
        <f>CHOOSE(WEEKDAY(C50,2),"Lunes","Martes","Miércoles","Jueves","Viernes","Sábado","Domingo")</f>
        <v/>
      </c>
      <c r="E50" s="59" t="inlineStr">
        <is>
          <t>Remoto (Desarrollo en Casa)</t>
        </is>
      </c>
      <c r="F50" s="22" t="inlineStr">
        <is>
          <t>15:00 - 20:00</t>
        </is>
      </c>
      <c r="G50" s="26" t="n">
        <v>5</v>
      </c>
      <c r="H50" s="60" t="inlineStr">
        <is>
          <t>Generación de reportes preliminares del mes de agosto en formato Excel oficial automatizado.</t>
        </is>
      </c>
      <c r="I50" s="30" t="inlineStr">
        <is>
          <t>Ejecutado y Validado</t>
        </is>
      </c>
    </row>
    <row r="51" ht="21" customHeight="1">
      <c r="A51" s="51" t="n">
        <v>47</v>
      </c>
      <c r="B51" s="31" t="inlineStr">
        <is>
          <t>Semana 09</t>
        </is>
      </c>
      <c r="C51" s="52" t="n">
        <v>46265</v>
      </c>
      <c r="D51" s="53">
        <f>CHOOSE(WEEKDAY(C51,2),"Lunes","Martes","Miércoles","Jueves","Viernes","Sábado","Domingo")</f>
        <v/>
      </c>
      <c r="E51" s="59" t="inlineStr">
        <is>
          <t>Remoto (Desarrollo en Casa)</t>
        </is>
      </c>
      <c r="F51" s="32" t="inlineStr">
        <is>
          <t>14:30 - 20:00</t>
        </is>
      </c>
      <c r="G51" s="34" t="n">
        <v>5.5</v>
      </c>
      <c r="H51" s="55" t="inlineStr">
        <is>
          <t>Auditoría de integridad de base de datos de casos de agosto y eliminación de registros duplicados.</t>
        </is>
      </c>
      <c r="I51" s="30" t="inlineStr">
        <is>
          <t>Ejecutado y Validado</t>
        </is>
      </c>
    </row>
    <row r="52" ht="21" customHeight="1">
      <c r="A52" s="56" t="n">
        <v>48</v>
      </c>
      <c r="B52" s="21" t="inlineStr">
        <is>
          <t>Semana 09</t>
        </is>
      </c>
      <c r="C52" s="57" t="n">
        <v>46266</v>
      </c>
      <c r="D52" s="58">
        <f>CHOOSE(WEEKDAY(C52,2),"Lunes","Martes","Miércoles","Jueves","Viernes","Sábado","Domingo")</f>
        <v/>
      </c>
      <c r="E52" s="54" t="inlineStr">
        <is>
          <t>Oficina (Presencial)</t>
        </is>
      </c>
      <c r="F52" s="22" t="inlineStr">
        <is>
          <t>09:00 - 13:00</t>
        </is>
      </c>
      <c r="G52" s="26" t="n">
        <v>4</v>
      </c>
      <c r="H52" s="60" t="inlineStr">
        <is>
          <t>Cierre administrativo del mes de agosto en la oficina; revisión de estadísticas con personal directivo.</t>
        </is>
      </c>
      <c r="I52" s="30" t="inlineStr">
        <is>
          <t>Ejecutado y Validado</t>
        </is>
      </c>
    </row>
    <row r="53" ht="21" customHeight="1">
      <c r="A53" s="51" t="n">
        <v>49</v>
      </c>
      <c r="B53" s="31" t="inlineStr">
        <is>
          <t>Semana 09</t>
        </is>
      </c>
      <c r="C53" s="52" t="n">
        <v>46267</v>
      </c>
      <c r="D53" s="53">
        <f>CHOOSE(WEEKDAY(C53,2),"Lunes","Martes","Miércoles","Jueves","Viernes","Sábado","Domingo")</f>
        <v/>
      </c>
      <c r="E53" s="59" t="inlineStr">
        <is>
          <t>Remoto (Desarrollo en Casa)</t>
        </is>
      </c>
      <c r="F53" s="32" t="inlineStr">
        <is>
          <t>14:30 - 20:00</t>
        </is>
      </c>
      <c r="G53" s="34" t="n">
        <v>5.5</v>
      </c>
      <c r="H53" s="55" t="inlineStr">
        <is>
          <t>Generación del reporte ejecutivo mensual oficial de agosto en PDF de alta fidelidad.</t>
        </is>
      </c>
      <c r="I53" s="30" t="inlineStr">
        <is>
          <t>Ejecutado y Validado</t>
        </is>
      </c>
    </row>
    <row r="54" ht="21" customHeight="1">
      <c r="A54" s="56" t="n">
        <v>50</v>
      </c>
      <c r="B54" s="21" t="inlineStr">
        <is>
          <t>Semana 09</t>
        </is>
      </c>
      <c r="C54" s="57" t="n">
        <v>46268</v>
      </c>
      <c r="D54" s="58">
        <f>CHOOSE(WEEKDAY(C54,2),"Lunes","Martes","Miércoles","Jueves","Viernes","Sábado","Domingo")</f>
        <v/>
      </c>
      <c r="E54" s="54" t="inlineStr">
        <is>
          <t>Oficina (Presencial)</t>
        </is>
      </c>
      <c r="F54" s="22" t="inlineStr">
        <is>
          <t>09:00 - 13:00</t>
        </is>
      </c>
      <c r="G54" s="26" t="n">
        <v>4</v>
      </c>
      <c r="H54" s="60" t="inlineStr">
        <is>
          <t>Notificación de requerimiento urgente: Presidencia Municipal solicita dictamen anual de incidentes del 1 de enero al 10 de septiembre.</t>
        </is>
      </c>
      <c r="I54" s="30" t="inlineStr">
        <is>
          <t>Ejecutado y Validado</t>
        </is>
      </c>
    </row>
    <row r="55" ht="21" customHeight="1">
      <c r="A55" s="51" t="n">
        <v>51</v>
      </c>
      <c r="B55" s="31" t="inlineStr">
        <is>
          <t>Semana 09</t>
        </is>
      </c>
      <c r="C55" s="52" t="n">
        <v>46268</v>
      </c>
      <c r="D55" s="53">
        <f>CHOOSE(WEEKDAY(C55,2),"Lunes","Martes","Miércoles","Jueves","Viernes","Sábado","Domingo")</f>
        <v/>
      </c>
      <c r="E55" s="59" t="inlineStr">
        <is>
          <t>Remoto (Desarrollo en Casa)</t>
        </is>
      </c>
      <c r="F55" s="32" t="inlineStr">
        <is>
          <t>15:30 - 20:00</t>
        </is>
      </c>
      <c r="G55" s="34" t="n">
        <v>4.5</v>
      </c>
      <c r="H55" s="55" t="inlineStr">
        <is>
          <t>Extracción masiva de bases de datos dispersas (SQLite, CSVs de casos, volcados de mensajes) y primeros scripts de consolidación.</t>
        </is>
      </c>
      <c r="I55" s="30" t="inlineStr">
        <is>
          <t>Ejecutado y Validado</t>
        </is>
      </c>
    </row>
    <row r="56" ht="21" customHeight="1">
      <c r="A56" s="56" t="n">
        <v>52</v>
      </c>
      <c r="B56" s="21" t="inlineStr">
        <is>
          <t>Semana 09</t>
        </is>
      </c>
      <c r="C56" s="57" t="n">
        <v>46269</v>
      </c>
      <c r="D56" s="58">
        <f>CHOOSE(WEEKDAY(C56,2),"Lunes","Martes","Miércoles","Jueves","Viernes","Sábado","Domingo")</f>
        <v/>
      </c>
      <c r="E56" s="59" t="inlineStr">
        <is>
          <t>Remoto (Desarrollo en Casa)</t>
        </is>
      </c>
      <c r="F56" s="22" t="inlineStr">
        <is>
          <t>14:00 - 20:00</t>
        </is>
      </c>
      <c r="G56" s="26" t="n">
        <v>6</v>
      </c>
      <c r="H56" s="60" t="inlineStr">
        <is>
          <t>6 horas continuas: Análisis exploratorio de datos (EDA) con Pandas: detección de discrepancias de fechas y tipos de siniestros.</t>
        </is>
      </c>
      <c r="I56" s="30" t="inlineStr">
        <is>
          <t>Ejecutado y Validado</t>
        </is>
      </c>
    </row>
    <row r="57" ht="21" customHeight="1">
      <c r="A57" s="51" t="n">
        <v>53</v>
      </c>
      <c r="B57" s="31" t="inlineStr">
        <is>
          <t>Semana 10</t>
        </is>
      </c>
      <c r="C57" s="52" t="n">
        <v>46272</v>
      </c>
      <c r="D57" s="53">
        <f>CHOOSE(WEEKDAY(C57,2),"Lunes","Martes","Miércoles","Jueves","Viernes","Sábado","Domingo")</f>
        <v/>
      </c>
      <c r="E57" s="54" t="inlineStr">
        <is>
          <t>Oficina (Presencial)</t>
        </is>
      </c>
      <c r="F57" s="32" t="inlineStr">
        <is>
          <t>09:00 - 13:00</t>
        </is>
      </c>
      <c r="G57" s="34" t="n">
        <v>4</v>
      </c>
      <c r="H57" s="55" t="inlineStr">
        <is>
          <t>Reunión urgente de alineación con directivos para definir criterios de clasificación del informe anual 2026 (01 de enero al 10 de septiembre). Recolección de bitácoras físicas de meses anteriores.</t>
        </is>
      </c>
      <c r="I57" s="30" t="inlineStr">
        <is>
          <t>Ejecutado y Validado</t>
        </is>
      </c>
    </row>
    <row r="58" ht="21" customHeight="1">
      <c r="A58" s="56" t="n">
        <v>54</v>
      </c>
      <c r="B58" s="21" t="inlineStr">
        <is>
          <t>Semana 10</t>
        </is>
      </c>
      <c r="C58" s="57" t="n">
        <v>46272</v>
      </c>
      <c r="D58" s="58">
        <f>CHOOSE(WEEKDAY(C58,2),"Lunes","Martes","Miércoles","Jueves","Viernes","Sábado","Domingo")</f>
        <v/>
      </c>
      <c r="E58" s="59" t="inlineStr">
        <is>
          <t>Remoto (Desarrollo en Casa)</t>
        </is>
      </c>
      <c r="F58" s="22" t="inlineStr">
        <is>
          <t>15:00 - 20:00</t>
        </is>
      </c>
      <c r="G58" s="26" t="n">
        <v>5</v>
      </c>
      <c r="H58" s="60" t="inlineStr">
        <is>
          <t>Desarrollo de scripts ETL en Python (poblar_anual_completo.py, procesar_anual_db.py) para ingesta y unificación de miles de registros históricos.</t>
        </is>
      </c>
      <c r="I58" s="30" t="inlineStr">
        <is>
          <t>Ejecutado y Validado</t>
        </is>
      </c>
    </row>
    <row r="59" ht="21" customHeight="1">
      <c r="A59" s="51" t="n">
        <v>55</v>
      </c>
      <c r="B59" s="31" t="inlineStr">
        <is>
          <t>Semana 10</t>
        </is>
      </c>
      <c r="C59" s="52" t="n">
        <v>46273</v>
      </c>
      <c r="D59" s="53">
        <f>CHOOSE(WEEKDAY(C59,2),"Lunes","Martes","Miércoles","Jueves","Viernes","Sábado","Domingo")</f>
        <v/>
      </c>
      <c r="E59" s="54" t="inlineStr">
        <is>
          <t>Oficina (Presencial)</t>
        </is>
      </c>
      <c r="F59" s="32" t="inlineStr">
        <is>
          <t>09:00 - 13:00</t>
        </is>
      </c>
      <c r="G59" s="34" t="n">
        <v>4</v>
      </c>
      <c r="H59" s="55" t="inlineStr">
        <is>
          <t>Cotejo manual exhaustivo en base con radioperadores sobre folios incompletos, casos con localidades dudosas y categorización de servicios especiales.</t>
        </is>
      </c>
      <c r="I59" s="30" t="inlineStr">
        <is>
          <t>Ejecutado y Validado</t>
        </is>
      </c>
    </row>
    <row r="60" ht="21" customHeight="1">
      <c r="A60" s="56" t="n">
        <v>56</v>
      </c>
      <c r="B60" s="21" t="inlineStr">
        <is>
          <t>Semana 10</t>
        </is>
      </c>
      <c r="C60" s="57" t="n">
        <v>46273</v>
      </c>
      <c r="D60" s="58">
        <f>CHOOSE(WEEKDAY(C60,2),"Lunes","Martes","Miércoles","Jueves","Viernes","Sábado","Domingo")</f>
        <v/>
      </c>
      <c r="E60" s="59" t="inlineStr">
        <is>
          <t>Remoto (Desarrollo en Casa)</t>
        </is>
      </c>
      <c r="F60" s="22" t="inlineStr">
        <is>
          <t>14:30 - 20:00</t>
        </is>
      </c>
      <c r="G60" s="26" t="n">
        <v>5.5</v>
      </c>
      <c r="H60" s="60" t="inlineStr">
        <is>
          <t>Trabajo intensivo de Ciencia de Datos: limpieza de datos con Pandas (reporte_mensual_agosto_limpio.csv, casos_general.csv), imputación de valores nulos y estandarización geográfica.</t>
        </is>
      </c>
      <c r="I60" s="30" t="inlineStr">
        <is>
          <t>Ejecutado y Validado</t>
        </is>
      </c>
    </row>
    <row r="61" ht="21" customHeight="1">
      <c r="A61" s="51" t="n">
        <v>57</v>
      </c>
      <c r="B61" s="31" t="inlineStr">
        <is>
          <t>Semana 10</t>
        </is>
      </c>
      <c r="C61" s="52" t="n">
        <v>46274</v>
      </c>
      <c r="D61" s="53">
        <f>CHOOSE(WEEKDAY(C61,2),"Lunes","Martes","Miércoles","Jueves","Viernes","Sábado","Domingo")</f>
        <v/>
      </c>
      <c r="E61" s="54" t="inlineStr">
        <is>
          <t>Oficina (Presencial)</t>
        </is>
      </c>
      <c r="F61" s="32" t="inlineStr">
        <is>
          <t>09:00 - 13:00</t>
        </is>
      </c>
      <c r="G61" s="34" t="n">
        <v>4</v>
      </c>
      <c r="H61" s="55" t="inlineStr">
        <is>
          <t>Validación de métricas intermedias y conteos de incidentes por cuadrante con mandos operativos de Protección Civil.</t>
        </is>
      </c>
      <c r="I61" s="30" t="inlineStr">
        <is>
          <t>Ejecutado y Validado</t>
        </is>
      </c>
    </row>
    <row r="62" ht="21" customHeight="1">
      <c r="A62" s="56" t="n">
        <v>58</v>
      </c>
      <c r="B62" s="21" t="inlineStr">
        <is>
          <t>Semana 10</t>
        </is>
      </c>
      <c r="C62" s="57" t="n">
        <v>46274</v>
      </c>
      <c r="D62" s="58">
        <f>CHOOSE(WEEKDAY(C62,2),"Lunes","Martes","Miércoles","Jueves","Viernes","Sábado","Domingo")</f>
        <v/>
      </c>
      <c r="E62" s="59" t="inlineStr">
        <is>
          <t>Remoto (Desarrollo en Casa)</t>
        </is>
      </c>
      <c r="F62" s="22" t="inlineStr">
        <is>
          <t>14:00 - 20:00</t>
        </is>
      </c>
      <c r="G62" s="26" t="n">
        <v>6</v>
      </c>
      <c r="H62" s="60" t="inlineStr">
        <is>
          <t>6 horas continuas: Modelado estadístico y analítica de datos (analyzer.py): cálculo de tiempos de respuesta, promedios diarios y generación de gráficos analíticos.</t>
        </is>
      </c>
      <c r="I62" s="30" t="inlineStr">
        <is>
          <t>Ejecutado y Validado</t>
        </is>
      </c>
    </row>
    <row r="63" ht="21" customHeight="1">
      <c r="A63" s="51" t="n">
        <v>59</v>
      </c>
      <c r="B63" s="31" t="inlineStr">
        <is>
          <t>Semana 10</t>
        </is>
      </c>
      <c r="C63" s="52" t="n">
        <v>46275</v>
      </c>
      <c r="D63" s="53">
        <f>CHOOSE(WEEKDAY(C63,2),"Lunes","Martes","Miércoles","Jueves","Viernes","Sábado","Domingo")</f>
        <v/>
      </c>
      <c r="E63" s="54" t="inlineStr">
        <is>
          <t>Oficina (Presencial)</t>
        </is>
      </c>
      <c r="F63" s="32" t="inlineStr">
        <is>
          <t>09:00 - 13:00</t>
        </is>
      </c>
      <c r="G63" s="34" t="n">
        <v>4</v>
      </c>
      <c r="H63" s="55" t="inlineStr">
        <is>
          <t>Pruebas de integración de datos finales en la estación de Protección Civil; verificación contra los registros oficiales de comandancia.</t>
        </is>
      </c>
      <c r="I63" s="30" t="inlineStr">
        <is>
          <t>Ejecutado y Validado</t>
        </is>
      </c>
    </row>
    <row r="64" ht="21" customHeight="1">
      <c r="A64" s="56" t="n">
        <v>60</v>
      </c>
      <c r="B64" s="21" t="inlineStr">
        <is>
          <t>Semana 10</t>
        </is>
      </c>
      <c r="C64" s="57" t="n">
        <v>46275</v>
      </c>
      <c r="D64" s="58">
        <f>CHOOSE(WEEKDAY(C64,2),"Lunes","Martes","Miércoles","Jueves","Viernes","Sábado","Domingo")</f>
        <v/>
      </c>
      <c r="E64" s="59" t="inlineStr">
        <is>
          <t>Remoto (Desarrollo en Casa)</t>
        </is>
      </c>
      <c r="F64" s="22" t="inlineStr">
        <is>
          <t>14:00 - 20:00</t>
        </is>
      </c>
      <c r="G64" s="26" t="n">
        <v>6</v>
      </c>
      <c r="H64" s="60" t="inlineStr">
        <is>
          <t>6 horas continuas: Programación de motores de reporte maestro (generar_excel_anual_profesional.py, generar_informe_anual_master.py) y optimización de renderizado.</t>
        </is>
      </c>
      <c r="I64" s="30" t="inlineStr">
        <is>
          <t>Ejecutado y Validado</t>
        </is>
      </c>
    </row>
    <row r="65" ht="21" customHeight="1">
      <c r="A65" s="51" t="n">
        <v>61</v>
      </c>
      <c r="B65" s="31" t="inlineStr">
        <is>
          <t>Semana 10</t>
        </is>
      </c>
      <c r="C65" s="52" t="n">
        <v>46276</v>
      </c>
      <c r="D65" s="53">
        <f>CHOOSE(WEEKDAY(C65,2),"Lunes","Martes","Miércoles","Jueves","Viernes","Sábado","Domingo")</f>
        <v/>
      </c>
      <c r="E65" s="54" t="inlineStr">
        <is>
          <t>Oficina (Presencial)</t>
        </is>
      </c>
      <c r="F65" s="32" t="inlineStr">
        <is>
          <t>09:00 - 13:00</t>
        </is>
      </c>
      <c r="G65" s="34" t="n">
        <v>4</v>
      </c>
      <c r="H65" s="55" t="inlineStr">
        <is>
          <t>Entrega y presentación formal del Informe Anual Consolidado (01/01/2026 al 10/09/2026) al Director Daniel Eduardo Romero Pilar para exposición oficial ante Presidencia y Alcalde.</t>
        </is>
      </c>
      <c r="I65" s="30" t="inlineStr">
        <is>
          <t>Ejecutado y Validado</t>
        </is>
      </c>
    </row>
    <row r="66" ht="21" customHeight="1">
      <c r="A66" s="56" t="n">
        <v>62</v>
      </c>
      <c r="B66" s="21" t="inlineStr">
        <is>
          <t>Semana 10</t>
        </is>
      </c>
      <c r="C66" s="57" t="n">
        <v>46276</v>
      </c>
      <c r="D66" s="58">
        <f>CHOOSE(WEEKDAY(C66,2),"Lunes","Martes","Miércoles","Jueves","Viernes","Sábado","Domingo")</f>
        <v/>
      </c>
      <c r="E66" s="59" t="inlineStr">
        <is>
          <t>Remoto (Desarrollo en Casa)</t>
        </is>
      </c>
      <c r="F66" s="22" t="inlineStr">
        <is>
          <t>15:30 - 20:00</t>
        </is>
      </c>
      <c r="G66" s="26" t="n">
        <v>4.5</v>
      </c>
      <c r="H66" s="60" t="inlineStr">
        <is>
          <t>Respaldo maestro de bases de datos depuradas, scripts analíticos, actualización del repositorio en GitHub y cierre de la semana de entrega.</t>
        </is>
      </c>
      <c r="I66" s="30" t="inlineStr">
        <is>
          <t>Ejecutado y Validado</t>
        </is>
      </c>
    </row>
    <row r="67" ht="21" customHeight="1">
      <c r="A67" s="51" t="n">
        <v>63</v>
      </c>
      <c r="B67" s="31" t="inlineStr">
        <is>
          <t>Semana 11</t>
        </is>
      </c>
      <c r="C67" s="52" t="n">
        <v>46280</v>
      </c>
      <c r="D67" s="53">
        <f>CHOOSE(WEEKDAY(C67,2),"Lunes","Martes","Miércoles","Jueves","Viernes","Sábado","Domingo")</f>
        <v/>
      </c>
      <c r="E67" s="54" t="inlineStr">
        <is>
          <t>Oficina (Presencial)</t>
        </is>
      </c>
      <c r="F67" s="32" t="inlineStr">
        <is>
          <t>09:00 - 13:00</t>
        </is>
      </c>
      <c r="G67" s="34" t="n">
        <v>4</v>
      </c>
      <c r="H67" s="55" t="inlineStr">
        <is>
          <t>Sesión en sede de Protección Civil: Revisión de flujo de alertas en cabina durante operativos del 15 y 16 de se...</t>
        </is>
      </c>
      <c r="I67" s="38" t="inlineStr">
        <is>
          <t>Proyección Programada</t>
        </is>
      </c>
    </row>
    <row r="68" ht="21" customHeight="1">
      <c r="A68" s="56" t="n">
        <v>64</v>
      </c>
      <c r="B68" s="21" t="inlineStr">
        <is>
          <t>Semana 11</t>
        </is>
      </c>
      <c r="C68" s="57" t="n">
        <v>46281</v>
      </c>
      <c r="D68" s="58">
        <f>CHOOSE(WEEKDAY(C68,2),"Lunes","Martes","Miércoles","Jueves","Viernes","Sábado","Domingo")</f>
        <v/>
      </c>
      <c r="E68" s="59" t="inlineStr">
        <is>
          <t>Remoto (Desarrollo en Casa)</t>
        </is>
      </c>
      <c r="F68" s="22" t="inlineStr">
        <is>
          <t>10:00 - 14:00</t>
        </is>
      </c>
      <c r="G68" s="26" t="n">
        <v>4</v>
      </c>
      <c r="H68" s="60" t="inlineStr">
        <is>
          <t>Desarrollo y ajustes en servidor cloud: Desarrollo de canal de ingesta automática de reportes ciudadanos y normaliz...</t>
        </is>
      </c>
      <c r="I68" s="38" t="inlineStr">
        <is>
          <t>Proyección Programada</t>
        </is>
      </c>
    </row>
    <row r="69" ht="21" customHeight="1">
      <c r="A69" s="51" t="n">
        <v>65</v>
      </c>
      <c r="B69" s="31" t="inlineStr">
        <is>
          <t>Semana 11</t>
        </is>
      </c>
      <c r="C69" s="52" t="n">
        <v>46283</v>
      </c>
      <c r="D69" s="53">
        <f>CHOOSE(WEEKDAY(C69,2),"Lunes","Martes","Miércoles","Jueves","Viernes","Sábado","Domingo")</f>
        <v/>
      </c>
      <c r="E69" s="59" t="inlineStr">
        <is>
          <t>Remoto (Desarrollo en Casa)</t>
        </is>
      </c>
      <c r="F69" s="32" t="inlineStr">
        <is>
          <t>10:00 - 14:00</t>
        </is>
      </c>
      <c r="G69" s="34" t="n">
        <v>4</v>
      </c>
      <c r="H69" s="55" t="inlineStr">
        <is>
          <t>Control de versiones, refactorización de código y pruebas de integración.</t>
        </is>
      </c>
      <c r="I69" s="38" t="inlineStr">
        <is>
          <t>Proyección Programada</t>
        </is>
      </c>
    </row>
    <row r="70" ht="21" customHeight="1">
      <c r="A70" s="56" t="n">
        <v>66</v>
      </c>
      <c r="B70" s="21" t="inlineStr">
        <is>
          <t>Semana 12</t>
        </is>
      </c>
      <c r="C70" s="57" t="n">
        <v>46286</v>
      </c>
      <c r="D70" s="58">
        <f>CHOOSE(WEEKDAY(C70,2),"Lunes","Martes","Miércoles","Jueves","Viernes","Sábado","Domingo")</f>
        <v/>
      </c>
      <c r="E70" s="59" t="inlineStr">
        <is>
          <t>Remoto (Desarrollo en Casa)</t>
        </is>
      </c>
      <c r="F70" s="22" t="inlineStr">
        <is>
          <t>10:00 - 14:00</t>
        </is>
      </c>
      <c r="G70" s="26" t="n">
        <v>4</v>
      </c>
      <c r="H70" s="60" t="inlineStr">
        <is>
          <t>Desarrollo remoto en DigitalOcean: Implementación de filtros de georreferenciación y vistas agrupadas por loca...</t>
        </is>
      </c>
      <c r="I70" s="38" t="inlineStr">
        <is>
          <t>Proyección Programada</t>
        </is>
      </c>
    </row>
    <row r="71" ht="21" customHeight="1">
      <c r="A71" s="51" t="n">
        <v>67</v>
      </c>
      <c r="B71" s="31" t="inlineStr">
        <is>
          <t>Semana 12</t>
        </is>
      </c>
      <c r="C71" s="52" t="n">
        <v>46287</v>
      </c>
      <c r="D71" s="53">
        <f>CHOOSE(WEEKDAY(C71,2),"Lunes","Martes","Miércoles","Jueves","Viernes","Sábado","Domingo")</f>
        <v/>
      </c>
      <c r="E71" s="54" t="inlineStr">
        <is>
          <t>Oficina (Presencial)</t>
        </is>
      </c>
      <c r="F71" s="32" t="inlineStr">
        <is>
          <t>08:30 - 13:30</t>
        </is>
      </c>
      <c r="G71" s="34" t="n">
        <v>5</v>
      </c>
      <c r="H71" s="55" t="inlineStr">
        <is>
          <t>Jornada presencial en Protección Civil: Cotejo cartográfico con personal de campo sobre cuadrantes y localidades de...</t>
        </is>
      </c>
      <c r="I71" s="38" t="inlineStr">
        <is>
          <t>Proyección Programada</t>
        </is>
      </c>
    </row>
    <row r="72" ht="21" customHeight="1">
      <c r="A72" s="56" t="n">
        <v>68</v>
      </c>
      <c r="B72" s="21" t="inlineStr">
        <is>
          <t>Semana 12</t>
        </is>
      </c>
      <c r="C72" s="57" t="n">
        <v>46289</v>
      </c>
      <c r="D72" s="58">
        <f>CHOOSE(WEEKDAY(C72,2),"Lunes","Martes","Miércoles","Jueves","Viernes","Sábado","Domingo")</f>
        <v/>
      </c>
      <c r="E72" s="59" t="inlineStr">
        <is>
          <t>Remoto (Desarrollo en Casa)</t>
        </is>
      </c>
      <c r="F72" s="22" t="inlineStr">
        <is>
          <t>10:00 - 14:00</t>
        </is>
      </c>
      <c r="G72" s="26" t="n">
        <v>4</v>
      </c>
      <c r="H72" s="60" t="inlineStr">
        <is>
          <t>Pruebas de endpoints, verificación de base de datos y depuración de vistas.</t>
        </is>
      </c>
      <c r="I72" s="38" t="inlineStr">
        <is>
          <t>Proyección Programada</t>
        </is>
      </c>
    </row>
    <row r="73" ht="21" customHeight="1">
      <c r="A73" s="51" t="n">
        <v>69</v>
      </c>
      <c r="B73" s="31" t="inlineStr">
        <is>
          <t>Semana 13</t>
        </is>
      </c>
      <c r="C73" s="52" t="n">
        <v>46293</v>
      </c>
      <c r="D73" s="53">
        <f>CHOOSE(WEEKDAY(C73,2),"Lunes","Martes","Miércoles","Jueves","Viernes","Sábado","Domingo")</f>
        <v/>
      </c>
      <c r="E73" s="59" t="inlineStr">
        <is>
          <t>Remoto (Desarrollo en Casa)</t>
        </is>
      </c>
      <c r="F73" s="32" t="inlineStr">
        <is>
          <t>10:00 - 14:00</t>
        </is>
      </c>
      <c r="G73" s="34" t="n">
        <v>4</v>
      </c>
      <c r="H73" s="55" t="inlineStr">
        <is>
          <t>Desarrollo remoto en DigitalOcean: Ajuste de workers de Gunicorn, configuración de caché y optimización de índ...</t>
        </is>
      </c>
      <c r="I73" s="38" t="inlineStr">
        <is>
          <t>Proyección Programada</t>
        </is>
      </c>
    </row>
    <row r="74" ht="21" customHeight="1">
      <c r="A74" s="56" t="n">
        <v>70</v>
      </c>
      <c r="B74" s="21" t="inlineStr">
        <is>
          <t>Semana 13</t>
        </is>
      </c>
      <c r="C74" s="57" t="n">
        <v>46294</v>
      </c>
      <c r="D74" s="58">
        <f>CHOOSE(WEEKDAY(C74,2),"Lunes","Martes","Miércoles","Jueves","Viernes","Sábado","Domingo")</f>
        <v/>
      </c>
      <c r="E74" s="54" t="inlineStr">
        <is>
          <t>Oficina (Presencial)</t>
        </is>
      </c>
      <c r="F74" s="22" t="inlineStr">
        <is>
          <t>08:30 - 13:30</t>
        </is>
      </c>
      <c r="G74" s="26" t="n">
        <v>5</v>
      </c>
      <c r="H74" s="60" t="inlineStr">
        <is>
          <t>Jornada presencial en Protección Civil: Monitoreo en vivo de consultas concurrentes desde computadoras de guardia....</t>
        </is>
      </c>
      <c r="I74" s="38" t="inlineStr">
        <is>
          <t>Proyección Programada</t>
        </is>
      </c>
    </row>
    <row r="75" ht="21" customHeight="1">
      <c r="A75" s="51" t="n">
        <v>71</v>
      </c>
      <c r="B75" s="31" t="inlineStr">
        <is>
          <t>Semana 13</t>
        </is>
      </c>
      <c r="C75" s="52" t="n">
        <v>46296</v>
      </c>
      <c r="D75" s="53">
        <f>CHOOSE(WEEKDAY(C75,2),"Lunes","Martes","Miércoles","Jueves","Viernes","Sábado","Domingo")</f>
        <v/>
      </c>
      <c r="E75" s="59" t="inlineStr">
        <is>
          <t>Remoto (Desarrollo en Casa)</t>
        </is>
      </c>
      <c r="F75" s="32" t="inlineStr">
        <is>
          <t>10:00 - 14:00</t>
        </is>
      </c>
      <c r="G75" s="34" t="n">
        <v>4</v>
      </c>
      <c r="H75" s="55" t="inlineStr">
        <is>
          <t>Pruebas de endpoints, verificación de base de datos y depuración de vistas.</t>
        </is>
      </c>
      <c r="I75" s="38" t="inlineStr">
        <is>
          <t>Proyección Programada</t>
        </is>
      </c>
    </row>
    <row r="76" ht="21" customHeight="1">
      <c r="A76" s="56" t="n">
        <v>72</v>
      </c>
      <c r="B76" s="21" t="inlineStr">
        <is>
          <t>Semana 14</t>
        </is>
      </c>
      <c r="C76" s="57" t="n">
        <v>46300</v>
      </c>
      <c r="D76" s="58">
        <f>CHOOSE(WEEKDAY(C76,2),"Lunes","Martes","Miércoles","Jueves","Viernes","Sábado","Domingo")</f>
        <v/>
      </c>
      <c r="E76" s="59" t="inlineStr">
        <is>
          <t>Remoto (Desarrollo en Casa)</t>
        </is>
      </c>
      <c r="F76" s="22" t="inlineStr">
        <is>
          <t>10:00 - 14:00</t>
        </is>
      </c>
      <c r="G76" s="26" t="n">
        <v>4</v>
      </c>
      <c r="H76" s="60" t="inlineStr">
        <is>
          <t>Desarrollo remoto en DigitalOcean: Programación del submódulo de bitácora digital de guardia y control de nove...</t>
        </is>
      </c>
      <c r="I76" s="38" t="inlineStr">
        <is>
          <t>Proyección Programada</t>
        </is>
      </c>
    </row>
    <row r="77" ht="21" customHeight="1">
      <c r="A77" s="51" t="n">
        <v>73</v>
      </c>
      <c r="B77" s="31" t="inlineStr">
        <is>
          <t>Semana 14</t>
        </is>
      </c>
      <c r="C77" s="52" t="n">
        <v>46301</v>
      </c>
      <c r="D77" s="53">
        <f>CHOOSE(WEEKDAY(C77,2),"Lunes","Martes","Miércoles","Jueves","Viernes","Sábado","Domingo")</f>
        <v/>
      </c>
      <c r="E77" s="54" t="inlineStr">
        <is>
          <t>Oficina (Presencial)</t>
        </is>
      </c>
      <c r="F77" s="32" t="inlineStr">
        <is>
          <t>08:30 - 13:30</t>
        </is>
      </c>
      <c r="G77" s="34" t="n">
        <v>5</v>
      </c>
      <c r="H77" s="55" t="inlineStr">
        <is>
          <t>Jornada presencial en Protección Civil: Retroalimentación con jefes de sector sobre captura de relevos de turno....</t>
        </is>
      </c>
      <c r="I77" s="38" t="inlineStr">
        <is>
          <t>Proyección Programada</t>
        </is>
      </c>
    </row>
    <row r="78" ht="21" customHeight="1">
      <c r="A78" s="56" t="n">
        <v>74</v>
      </c>
      <c r="B78" s="21" t="inlineStr">
        <is>
          <t>Semana 14</t>
        </is>
      </c>
      <c r="C78" s="57" t="n">
        <v>46303</v>
      </c>
      <c r="D78" s="58">
        <f>CHOOSE(WEEKDAY(C78,2),"Lunes","Martes","Miércoles","Jueves","Viernes","Sábado","Domingo")</f>
        <v/>
      </c>
      <c r="E78" s="59" t="inlineStr">
        <is>
          <t>Remoto (Desarrollo en Casa)</t>
        </is>
      </c>
      <c r="F78" s="22" t="inlineStr">
        <is>
          <t>10:00 - 14:00</t>
        </is>
      </c>
      <c r="G78" s="26" t="n">
        <v>4</v>
      </c>
      <c r="H78" s="60" t="inlineStr">
        <is>
          <t>Pruebas de endpoints, verificación de base de datos y depuración de vistas.</t>
        </is>
      </c>
      <c r="I78" s="38" t="inlineStr">
        <is>
          <t>Proyección Programada</t>
        </is>
      </c>
    </row>
    <row r="79" ht="21" customHeight="1">
      <c r="A79" s="51" t="n">
        <v>75</v>
      </c>
      <c r="B79" s="31" t="inlineStr">
        <is>
          <t>Semana 15</t>
        </is>
      </c>
      <c r="C79" s="52" t="n">
        <v>46307</v>
      </c>
      <c r="D79" s="53">
        <f>CHOOSE(WEEKDAY(C79,2),"Lunes","Martes","Miércoles","Jueves","Viernes","Sábado","Domingo")</f>
        <v/>
      </c>
      <c r="E79" s="59" t="inlineStr">
        <is>
          <t>Remoto (Desarrollo en Casa)</t>
        </is>
      </c>
      <c r="F79" s="32" t="inlineStr">
        <is>
          <t>10:00 - 14:00</t>
        </is>
      </c>
      <c r="G79" s="34" t="n">
        <v>4</v>
      </c>
      <c r="H79" s="55" t="inlineStr">
        <is>
          <t>Desarrollo remoto en DigitalOcean: Desarrollo del mapa interactivo de hidrantes y disponibilidad de recursos d...</t>
        </is>
      </c>
      <c r="I79" s="38" t="inlineStr">
        <is>
          <t>Proyección Programada</t>
        </is>
      </c>
    </row>
    <row r="80" ht="21" customHeight="1">
      <c r="A80" s="56" t="n">
        <v>76</v>
      </c>
      <c r="B80" s="21" t="inlineStr">
        <is>
          <t>Semana 15</t>
        </is>
      </c>
      <c r="C80" s="57" t="n">
        <v>46308</v>
      </c>
      <c r="D80" s="58">
        <f>CHOOSE(WEEKDAY(C80,2),"Lunes","Martes","Miércoles","Jueves","Viernes","Sábado","Domingo")</f>
        <v/>
      </c>
      <c r="E80" s="54" t="inlineStr">
        <is>
          <t>Oficina (Presencial)</t>
        </is>
      </c>
      <c r="F80" s="22" t="inlineStr">
        <is>
          <t>08:30 - 13:30</t>
        </is>
      </c>
      <c r="G80" s="26" t="n">
        <v>5</v>
      </c>
      <c r="H80" s="60" t="inlineStr">
        <is>
          <t>Jornada presencial en Protección Civil: Inventario en sitio de hidrantes y fuentes de abastecimiento de agua en el ...</t>
        </is>
      </c>
      <c r="I80" s="38" t="inlineStr">
        <is>
          <t>Proyección Programada</t>
        </is>
      </c>
    </row>
    <row r="81" ht="21" customHeight="1">
      <c r="A81" s="51" t="n">
        <v>77</v>
      </c>
      <c r="B81" s="31" t="inlineStr">
        <is>
          <t>Semana 15</t>
        </is>
      </c>
      <c r="C81" s="52" t="n">
        <v>46310</v>
      </c>
      <c r="D81" s="53">
        <f>CHOOSE(WEEKDAY(C81,2),"Lunes","Martes","Miércoles","Jueves","Viernes","Sábado","Domingo")</f>
        <v/>
      </c>
      <c r="E81" s="59" t="inlineStr">
        <is>
          <t>Remoto (Desarrollo en Casa)</t>
        </is>
      </c>
      <c r="F81" s="32" t="inlineStr">
        <is>
          <t>10:00 - 14:00</t>
        </is>
      </c>
      <c r="G81" s="34" t="n">
        <v>4</v>
      </c>
      <c r="H81" s="55" t="inlineStr">
        <is>
          <t>Pruebas de endpoints, verificación de base de datos y depuración de vistas.</t>
        </is>
      </c>
      <c r="I81" s="38" t="inlineStr">
        <is>
          <t>Proyección Programada</t>
        </is>
      </c>
    </row>
    <row r="82" ht="21" customHeight="1">
      <c r="A82" s="56" t="n">
        <v>78</v>
      </c>
      <c r="B82" s="21" t="inlineStr">
        <is>
          <t>Semana 16</t>
        </is>
      </c>
      <c r="C82" s="57" t="n">
        <v>46314</v>
      </c>
      <c r="D82" s="58">
        <f>CHOOSE(WEEKDAY(C82,2),"Lunes","Martes","Miércoles","Jueves","Viernes","Sábado","Domingo")</f>
        <v/>
      </c>
      <c r="E82" s="59" t="inlineStr">
        <is>
          <t>Remoto (Desarrollo en Casa)</t>
        </is>
      </c>
      <c r="F82" s="22" t="inlineStr">
        <is>
          <t>10:00 - 14:00</t>
        </is>
      </c>
      <c r="G82" s="26" t="n">
        <v>4</v>
      </c>
      <c r="H82" s="60" t="inlineStr">
        <is>
          <t>Desarrollo remoto en DigitalOcean: Programación de generador automático de resúmenes semanales en PDF estructu...</t>
        </is>
      </c>
      <c r="I82" s="38" t="inlineStr">
        <is>
          <t>Proyección Programada</t>
        </is>
      </c>
    </row>
    <row r="83" ht="21" customHeight="1">
      <c r="A83" s="51" t="n">
        <v>79</v>
      </c>
      <c r="B83" s="31" t="inlineStr">
        <is>
          <t>Semana 16</t>
        </is>
      </c>
      <c r="C83" s="52" t="n">
        <v>46315</v>
      </c>
      <c r="D83" s="53">
        <f>CHOOSE(WEEKDAY(C83,2),"Lunes","Martes","Miércoles","Jueves","Viernes","Sábado","Domingo")</f>
        <v/>
      </c>
      <c r="E83" s="54" t="inlineStr">
        <is>
          <t>Oficina (Presencial)</t>
        </is>
      </c>
      <c r="F83" s="32" t="inlineStr">
        <is>
          <t>08:30 - 13:30</t>
        </is>
      </c>
      <c r="G83" s="34" t="n">
        <v>5</v>
      </c>
      <c r="H83" s="55" t="inlineStr">
        <is>
          <t>Jornada presencial en Protección Civil: Validación de formatos de reporte semanal con la comandancia de incidentes....</t>
        </is>
      </c>
      <c r="I83" s="38" t="inlineStr">
        <is>
          <t>Proyección Programada</t>
        </is>
      </c>
    </row>
    <row r="84" ht="21" customHeight="1">
      <c r="A84" s="56" t="n">
        <v>80</v>
      </c>
      <c r="B84" s="21" t="inlineStr">
        <is>
          <t>Semana 16</t>
        </is>
      </c>
      <c r="C84" s="57" t="n">
        <v>46317</v>
      </c>
      <c r="D84" s="58">
        <f>CHOOSE(WEEKDAY(C84,2),"Lunes","Martes","Miércoles","Jueves","Viernes","Sábado","Domingo")</f>
        <v/>
      </c>
      <c r="E84" s="59" t="inlineStr">
        <is>
          <t>Remoto (Desarrollo en Casa)</t>
        </is>
      </c>
      <c r="F84" s="22" t="inlineStr">
        <is>
          <t>10:00 - 14:00</t>
        </is>
      </c>
      <c r="G84" s="26" t="n">
        <v>4</v>
      </c>
      <c r="H84" s="60" t="inlineStr">
        <is>
          <t>Pruebas de endpoints, verificación de base de datos y depuración de vistas.</t>
        </is>
      </c>
      <c r="I84" s="38" t="inlineStr">
        <is>
          <t>Proyección Programada</t>
        </is>
      </c>
    </row>
    <row r="85" ht="21" customHeight="1">
      <c r="A85" s="51" t="n">
        <v>81</v>
      </c>
      <c r="B85" s="31" t="inlineStr">
        <is>
          <t>Semana 17</t>
        </is>
      </c>
      <c r="C85" s="52" t="n">
        <v>46321</v>
      </c>
      <c r="D85" s="53">
        <f>CHOOSE(WEEKDAY(C85,2),"Lunes","Martes","Miércoles","Jueves","Viernes","Sábado","Domingo")</f>
        <v/>
      </c>
      <c r="E85" s="59" t="inlineStr">
        <is>
          <t>Remoto (Desarrollo en Casa)</t>
        </is>
      </c>
      <c r="F85" s="32" t="inlineStr">
        <is>
          <t>10:00 - 14:00</t>
        </is>
      </c>
      <c r="G85" s="34" t="n">
        <v>4</v>
      </c>
      <c r="H85" s="55" t="inlineStr">
        <is>
          <t>Desarrollo remoto en DigitalOcean: Automatización de snapshots y respaldos cifrados en almacenamiento externo ...</t>
        </is>
      </c>
      <c r="I85" s="38" t="inlineStr">
        <is>
          <t>Proyección Programada</t>
        </is>
      </c>
    </row>
    <row r="86" ht="21" customHeight="1">
      <c r="A86" s="56" t="n">
        <v>82</v>
      </c>
      <c r="B86" s="21" t="inlineStr">
        <is>
          <t>Semana 17</t>
        </is>
      </c>
      <c r="C86" s="57" t="n">
        <v>46322</v>
      </c>
      <c r="D86" s="58">
        <f>CHOOSE(WEEKDAY(C86,2),"Lunes","Martes","Miércoles","Jueves","Viernes","Sábado","Domingo")</f>
        <v/>
      </c>
      <c r="E86" s="54" t="inlineStr">
        <is>
          <t>Oficina (Presencial)</t>
        </is>
      </c>
      <c r="F86" s="22" t="inlineStr">
        <is>
          <t>08:30 - 13:30</t>
        </is>
      </c>
      <c r="G86" s="26" t="n">
        <v>5</v>
      </c>
      <c r="H86" s="60" t="inlineStr">
        <is>
          <t>Jornada presencial en Protección Civil: Auditoría de seguridad física y control de contraseñas en terminales de la ...</t>
        </is>
      </c>
      <c r="I86" s="38" t="inlineStr">
        <is>
          <t>Proyección Programada</t>
        </is>
      </c>
    </row>
    <row r="87" ht="21" customHeight="1">
      <c r="A87" s="51" t="n">
        <v>83</v>
      </c>
      <c r="B87" s="31" t="inlineStr">
        <is>
          <t>Semana 17</t>
        </is>
      </c>
      <c r="C87" s="52" t="n">
        <v>46324</v>
      </c>
      <c r="D87" s="53">
        <f>CHOOSE(WEEKDAY(C87,2),"Lunes","Martes","Miércoles","Jueves","Viernes","Sábado","Domingo")</f>
        <v/>
      </c>
      <c r="E87" s="59" t="inlineStr">
        <is>
          <t>Remoto (Desarrollo en Casa)</t>
        </is>
      </c>
      <c r="F87" s="32" t="inlineStr">
        <is>
          <t>10:00 - 14:00</t>
        </is>
      </c>
      <c r="G87" s="34" t="n">
        <v>4</v>
      </c>
      <c r="H87" s="55" t="inlineStr">
        <is>
          <t>Pruebas de endpoints, verificación de base de datos y depuración de vistas.</t>
        </is>
      </c>
      <c r="I87" s="38" t="inlineStr">
        <is>
          <t>Proyección Programada</t>
        </is>
      </c>
    </row>
    <row r="88" ht="21" customHeight="1">
      <c r="A88" s="56" t="n">
        <v>84</v>
      </c>
      <c r="B88" s="21" t="inlineStr">
        <is>
          <t>Semana 18</t>
        </is>
      </c>
      <c r="C88" s="57" t="n">
        <v>46329</v>
      </c>
      <c r="D88" s="58">
        <f>CHOOSE(WEEKDAY(C88,2),"Lunes","Martes","Miércoles","Jueves","Viernes","Sábado","Domingo")</f>
        <v/>
      </c>
      <c r="E88" s="54" t="inlineStr">
        <is>
          <t>Oficina (Presencial)</t>
        </is>
      </c>
      <c r="F88" s="22" t="inlineStr">
        <is>
          <t>09:00 - 13:00</t>
        </is>
      </c>
      <c r="G88" s="26" t="n">
        <v>4</v>
      </c>
      <c r="H88" s="60" t="inlineStr">
        <is>
          <t>Sesión en sede de Protección Civil: Apoyo en captura de novedades del operativo especial de panteones en Medell...</t>
        </is>
      </c>
      <c r="I88" s="38" t="inlineStr">
        <is>
          <t>Proyección Programada</t>
        </is>
      </c>
    </row>
    <row r="89" ht="21" customHeight="1">
      <c r="A89" s="51" t="n">
        <v>85</v>
      </c>
      <c r="B89" s="31" t="inlineStr">
        <is>
          <t>Semana 18</t>
        </is>
      </c>
      <c r="C89" s="52" t="n">
        <v>46330</v>
      </c>
      <c r="D89" s="53">
        <f>CHOOSE(WEEKDAY(C89,2),"Lunes","Martes","Miércoles","Jueves","Viernes","Sábado","Domingo")</f>
        <v/>
      </c>
      <c r="E89" s="59" t="inlineStr">
        <is>
          <t>Remoto (Desarrollo en Casa)</t>
        </is>
      </c>
      <c r="F89" s="32" t="inlineStr">
        <is>
          <t>10:00 - 14:00</t>
        </is>
      </c>
      <c r="G89" s="34" t="n">
        <v>4</v>
      </c>
      <c r="H89" s="55" t="inlineStr">
        <is>
          <t>Desarrollo y ajustes en servidor cloud: Ajuste de parámetros en modelos de incidentes vehiculares y personal en tur...</t>
        </is>
      </c>
      <c r="I89" s="38" t="inlineStr">
        <is>
          <t>Proyección Programada</t>
        </is>
      </c>
    </row>
    <row r="90" ht="21" customHeight="1">
      <c r="A90" s="56" t="n">
        <v>86</v>
      </c>
      <c r="B90" s="21" t="inlineStr">
        <is>
          <t>Semana 18</t>
        </is>
      </c>
      <c r="C90" s="57" t="n">
        <v>46332</v>
      </c>
      <c r="D90" s="58">
        <f>CHOOSE(WEEKDAY(C90,2),"Lunes","Martes","Miércoles","Jueves","Viernes","Sábado","Domingo")</f>
        <v/>
      </c>
      <c r="E90" s="59" t="inlineStr">
        <is>
          <t>Remoto (Desarrollo en Casa)</t>
        </is>
      </c>
      <c r="F90" s="22" t="inlineStr">
        <is>
          <t>10:00 - 14:00</t>
        </is>
      </c>
      <c r="G90" s="26" t="n">
        <v>4</v>
      </c>
      <c r="H90" s="60" t="inlineStr">
        <is>
          <t>Control de versiones, refactorización de código y pruebas de integración.</t>
        </is>
      </c>
      <c r="I90" s="38" t="inlineStr">
        <is>
          <t>Proyección Programada</t>
        </is>
      </c>
    </row>
    <row r="91" ht="21" customHeight="1">
      <c r="A91" s="51" t="n">
        <v>87</v>
      </c>
      <c r="B91" s="31" t="inlineStr">
        <is>
          <t>Semana 19</t>
        </is>
      </c>
      <c r="C91" s="52" t="n">
        <v>46335</v>
      </c>
      <c r="D91" s="53">
        <f>CHOOSE(WEEKDAY(C91,2),"Lunes","Martes","Miércoles","Jueves","Viernes","Sábado","Domingo")</f>
        <v/>
      </c>
      <c r="E91" s="59" t="inlineStr">
        <is>
          <t>Remoto (Desarrollo en Casa)</t>
        </is>
      </c>
      <c r="F91" s="32" t="inlineStr">
        <is>
          <t>10:00 - 14:00</t>
        </is>
      </c>
      <c r="G91" s="34" t="n">
        <v>4</v>
      </c>
      <c r="H91" s="55" t="inlineStr">
        <is>
          <t>Desarrollo remoto en DigitalOcean: Desarrollo del catálogo de insumos médicos y alertas de caducidad y reabast...</t>
        </is>
      </c>
      <c r="I91" s="38" t="inlineStr">
        <is>
          <t>Proyección Programada</t>
        </is>
      </c>
    </row>
    <row r="92" ht="21" customHeight="1">
      <c r="A92" s="56" t="n">
        <v>88</v>
      </c>
      <c r="B92" s="21" t="inlineStr">
        <is>
          <t>Semana 19</t>
        </is>
      </c>
      <c r="C92" s="57" t="n">
        <v>46336</v>
      </c>
      <c r="D92" s="58">
        <f>CHOOSE(WEEKDAY(C92,2),"Lunes","Martes","Miércoles","Jueves","Viernes","Sábado","Domingo")</f>
        <v/>
      </c>
      <c r="E92" s="54" t="inlineStr">
        <is>
          <t>Oficina (Presencial)</t>
        </is>
      </c>
      <c r="F92" s="22" t="inlineStr">
        <is>
          <t>08:30 - 13:30</t>
        </is>
      </c>
      <c r="G92" s="26" t="n">
        <v>5</v>
      </c>
      <c r="H92" s="60" t="inlineStr">
        <is>
          <t>Jornada presencial en Protección Civil: Revisión de botiquines y stock de insumos médicos con personal paramédico....</t>
        </is>
      </c>
      <c r="I92" s="38" t="inlineStr">
        <is>
          <t>Proyección Programada</t>
        </is>
      </c>
    </row>
    <row r="93" ht="21" customHeight="1">
      <c r="A93" s="51" t="n">
        <v>89</v>
      </c>
      <c r="B93" s="31" t="inlineStr">
        <is>
          <t>Semana 19</t>
        </is>
      </c>
      <c r="C93" s="52" t="n">
        <v>46338</v>
      </c>
      <c r="D93" s="53">
        <f>CHOOSE(WEEKDAY(C93,2),"Lunes","Martes","Miércoles","Jueves","Viernes","Sábado","Domingo")</f>
        <v/>
      </c>
      <c r="E93" s="59" t="inlineStr">
        <is>
          <t>Remoto (Desarrollo en Casa)</t>
        </is>
      </c>
      <c r="F93" s="32" t="inlineStr">
        <is>
          <t>10:00 - 14:00</t>
        </is>
      </c>
      <c r="G93" s="34" t="n">
        <v>4</v>
      </c>
      <c r="H93" s="55" t="inlineStr">
        <is>
          <t>Pruebas de endpoints, verificación de base de datos y depuración de vistas.</t>
        </is>
      </c>
      <c r="I93" s="38" t="inlineStr">
        <is>
          <t>Proyección Programada</t>
        </is>
      </c>
    </row>
    <row r="94" ht="21" customHeight="1">
      <c r="A94" s="56" t="n">
        <v>90</v>
      </c>
      <c r="B94" s="21" t="inlineStr">
        <is>
          <t>Semana 20</t>
        </is>
      </c>
      <c r="C94" s="57" t="n">
        <v>46343</v>
      </c>
      <c r="D94" s="58">
        <f>CHOOSE(WEEKDAY(C94,2),"Lunes","Martes","Miércoles","Jueves","Viernes","Sábado","Domingo")</f>
        <v/>
      </c>
      <c r="E94" s="54" t="inlineStr">
        <is>
          <t>Oficina (Presencial)</t>
        </is>
      </c>
      <c r="F94" s="22" t="inlineStr">
        <is>
          <t>09:00 - 13:00</t>
        </is>
      </c>
      <c r="G94" s="26" t="n">
        <v>4</v>
      </c>
      <c r="H94" s="60" t="inlineStr">
        <is>
          <t>Sesión en sede de Protección Civil: Revisión intermedia de avances con el supervisor institucional de servicio ...</t>
        </is>
      </c>
      <c r="I94" s="38" t="inlineStr">
        <is>
          <t>Proyección Programada</t>
        </is>
      </c>
    </row>
    <row r="95" ht="21" customHeight="1">
      <c r="A95" s="51" t="n">
        <v>91</v>
      </c>
      <c r="B95" s="31" t="inlineStr">
        <is>
          <t>Semana 20</t>
        </is>
      </c>
      <c r="C95" s="52" t="n">
        <v>46344</v>
      </c>
      <c r="D95" s="53">
        <f>CHOOSE(WEEKDAY(C95,2),"Lunes","Martes","Miércoles","Jueves","Viernes","Sábado","Domingo")</f>
        <v/>
      </c>
      <c r="E95" s="59" t="inlineStr">
        <is>
          <t>Remoto (Desarrollo en Casa)</t>
        </is>
      </c>
      <c r="F95" s="32" t="inlineStr">
        <is>
          <t>10:00 - 14:00</t>
        </is>
      </c>
      <c r="G95" s="34" t="n">
        <v>4</v>
      </c>
      <c r="H95" s="55" t="inlineStr">
        <is>
          <t>Desarrollo y ajustes en servidor cloud: Refactorización de código Django, actualización de librerías y parches de s...</t>
        </is>
      </c>
      <c r="I95" s="38" t="inlineStr">
        <is>
          <t>Proyección Programada</t>
        </is>
      </c>
    </row>
    <row r="96" ht="21" customHeight="1">
      <c r="A96" s="56" t="n">
        <v>92</v>
      </c>
      <c r="B96" s="21" t="inlineStr">
        <is>
          <t>Semana 20</t>
        </is>
      </c>
      <c r="C96" s="57" t="n">
        <v>46346</v>
      </c>
      <c r="D96" s="58">
        <f>CHOOSE(WEEKDAY(C96,2),"Lunes","Martes","Miércoles","Jueves","Viernes","Sábado","Domingo")</f>
        <v/>
      </c>
      <c r="E96" s="59" t="inlineStr">
        <is>
          <t>Remoto (Desarrollo en Casa)</t>
        </is>
      </c>
      <c r="F96" s="22" t="inlineStr">
        <is>
          <t>10:00 - 14:00</t>
        </is>
      </c>
      <c r="G96" s="26" t="n">
        <v>4</v>
      </c>
      <c r="H96" s="60" t="inlineStr">
        <is>
          <t>Control de versiones, refactorización de código y pruebas de integración.</t>
        </is>
      </c>
      <c r="I96" s="38" t="inlineStr">
        <is>
          <t>Proyección Programada</t>
        </is>
      </c>
    </row>
    <row r="97" ht="21" customHeight="1">
      <c r="A97" s="51" t="n">
        <v>93</v>
      </c>
      <c r="B97" s="31" t="inlineStr">
        <is>
          <t>Semana 21</t>
        </is>
      </c>
      <c r="C97" s="52" t="n">
        <v>46349</v>
      </c>
      <c r="D97" s="53">
        <f>CHOOSE(WEEKDAY(C97,2),"Lunes","Martes","Miércoles","Jueves","Viernes","Sábado","Domingo")</f>
        <v/>
      </c>
      <c r="E97" s="59" t="inlineStr">
        <is>
          <t>Remoto (Desarrollo en Casa)</t>
        </is>
      </c>
      <c r="F97" s="32" t="inlineStr">
        <is>
          <t>10:00 - 14:00</t>
        </is>
      </c>
      <c r="G97" s="34" t="n">
        <v>4</v>
      </c>
      <c r="H97" s="55" t="inlineStr">
        <is>
          <t>Desarrollo remoto en DigitalOcean: Despliegue de actualización mayor v1.5 en DigitalOcean y pruebas de regresi...</t>
        </is>
      </c>
      <c r="I97" s="38" t="inlineStr">
        <is>
          <t>Proyección Programada</t>
        </is>
      </c>
    </row>
    <row r="98" ht="21" customHeight="1">
      <c r="A98" s="56" t="n">
        <v>94</v>
      </c>
      <c r="B98" s="21" t="inlineStr">
        <is>
          <t>Semana 21</t>
        </is>
      </c>
      <c r="C98" s="57" t="n">
        <v>46350</v>
      </c>
      <c r="D98" s="58">
        <f>CHOOSE(WEEKDAY(C98,2),"Lunes","Martes","Miércoles","Jueves","Viernes","Sábado","Domingo")</f>
        <v/>
      </c>
      <c r="E98" s="54" t="inlineStr">
        <is>
          <t>Oficina (Presencial)</t>
        </is>
      </c>
      <c r="F98" s="22" t="inlineStr">
        <is>
          <t>08:30 - 13:30</t>
        </is>
      </c>
      <c r="G98" s="26" t="n">
        <v>5</v>
      </c>
      <c r="H98" s="60" t="inlineStr">
        <is>
          <t>Jornada presencial en Protección Civil: Pruebas operativas integrales en la estación con el personal administrativo...</t>
        </is>
      </c>
      <c r="I98" s="38" t="inlineStr">
        <is>
          <t>Proyección Programada</t>
        </is>
      </c>
    </row>
    <row r="99" ht="21" customHeight="1">
      <c r="A99" s="51" t="n">
        <v>95</v>
      </c>
      <c r="B99" s="31" t="inlineStr">
        <is>
          <t>Semana 21</t>
        </is>
      </c>
      <c r="C99" s="52" t="n">
        <v>46352</v>
      </c>
      <c r="D99" s="53">
        <f>CHOOSE(WEEKDAY(C99,2),"Lunes","Martes","Miércoles","Jueves","Viernes","Sábado","Domingo")</f>
        <v/>
      </c>
      <c r="E99" s="59" t="inlineStr">
        <is>
          <t>Remoto (Desarrollo en Casa)</t>
        </is>
      </c>
      <c r="F99" s="32" t="inlineStr">
        <is>
          <t>10:00 - 14:00</t>
        </is>
      </c>
      <c r="G99" s="34" t="n">
        <v>4</v>
      </c>
      <c r="H99" s="55" t="inlineStr">
        <is>
          <t>Pruebas de endpoints, verificación de base de datos y depuración de vistas.</t>
        </is>
      </c>
      <c r="I99" s="38" t="inlineStr">
        <is>
          <t>Proyección Programada</t>
        </is>
      </c>
    </row>
    <row r="100" ht="21" customHeight="1">
      <c r="A100" s="56" t="n">
        <v>96</v>
      </c>
      <c r="B100" s="21" t="inlineStr">
        <is>
          <t>Semana 22</t>
        </is>
      </c>
      <c r="C100" s="57" t="n">
        <v>46356</v>
      </c>
      <c r="D100" s="58">
        <f>CHOOSE(WEEKDAY(C100,2),"Lunes","Martes","Miércoles","Jueves","Viernes","Sábado","Domingo")</f>
        <v/>
      </c>
      <c r="E100" s="59" t="inlineStr">
        <is>
          <t>Remoto (Desarrollo en Casa)</t>
        </is>
      </c>
      <c r="F100" s="22" t="inlineStr">
        <is>
          <t>10:00 - 14:00</t>
        </is>
      </c>
      <c r="G100" s="26" t="n">
        <v>4</v>
      </c>
      <c r="H100" s="60" t="inlineStr">
        <is>
          <t>Desarrollo remoto en DigitalOcean: Ajustes de ergonomía de interfaz basados en las consultas de los usuarios d...</t>
        </is>
      </c>
      <c r="I100" s="38" t="inlineStr">
        <is>
          <t>Proyección Programada</t>
        </is>
      </c>
    </row>
    <row r="101" ht="21" customHeight="1">
      <c r="A101" s="51" t="n">
        <v>97</v>
      </c>
      <c r="B101" s="31" t="inlineStr">
        <is>
          <t>Semana 22</t>
        </is>
      </c>
      <c r="C101" s="52" t="n">
        <v>46357</v>
      </c>
      <c r="D101" s="53">
        <f>CHOOSE(WEEKDAY(C101,2),"Lunes","Martes","Miércoles","Jueves","Viernes","Sábado","Domingo")</f>
        <v/>
      </c>
      <c r="E101" s="54" t="inlineStr">
        <is>
          <t>Oficina (Presencial)</t>
        </is>
      </c>
      <c r="F101" s="32" t="inlineStr">
        <is>
          <t>08:30 - 13:30</t>
        </is>
      </c>
      <c r="G101" s="34" t="n">
        <v>5</v>
      </c>
      <c r="H101" s="55" t="inlineStr">
        <is>
          <t>Jornada presencial en Protección Civil: Impartición de talleres de capacitación a radioperadores, choferes y person...</t>
        </is>
      </c>
      <c r="I101" s="38" t="inlineStr">
        <is>
          <t>Proyección Programada</t>
        </is>
      </c>
    </row>
    <row r="102" ht="21" customHeight="1">
      <c r="A102" s="56" t="n">
        <v>98</v>
      </c>
      <c r="B102" s="21" t="inlineStr">
        <is>
          <t>Semana 22</t>
        </is>
      </c>
      <c r="C102" s="57" t="n">
        <v>46359</v>
      </c>
      <c r="D102" s="58">
        <f>CHOOSE(WEEKDAY(C102,2),"Lunes","Martes","Miércoles","Jueves","Viernes","Sábado","Domingo")</f>
        <v/>
      </c>
      <c r="E102" s="59" t="inlineStr">
        <is>
          <t>Remoto (Desarrollo en Casa)</t>
        </is>
      </c>
      <c r="F102" s="22" t="inlineStr">
        <is>
          <t>10:00 - 14:00</t>
        </is>
      </c>
      <c r="G102" s="26" t="n">
        <v>4</v>
      </c>
      <c r="H102" s="60" t="inlineStr">
        <is>
          <t>Pruebas de endpoints, verificación de base de datos y depuración de vistas.</t>
        </is>
      </c>
      <c r="I102" s="38" t="inlineStr">
        <is>
          <t>Proyección Programada</t>
        </is>
      </c>
    </row>
    <row r="103" ht="21" customHeight="1">
      <c r="A103" s="51" t="n">
        <v>99</v>
      </c>
      <c r="B103" s="31" t="inlineStr">
        <is>
          <t>Semana 23</t>
        </is>
      </c>
      <c r="C103" s="52" t="n">
        <v>46363</v>
      </c>
      <c r="D103" s="53">
        <f>CHOOSE(WEEKDAY(C103,2),"Lunes","Martes","Miércoles","Jueves","Viernes","Sábado","Domingo")</f>
        <v/>
      </c>
      <c r="E103" s="59" t="inlineStr">
        <is>
          <t>Remoto (Desarrollo en Casa)</t>
        </is>
      </c>
      <c r="F103" s="32" t="inlineStr">
        <is>
          <t>10:00 - 14:00</t>
        </is>
      </c>
      <c r="G103" s="34" t="n">
        <v>4</v>
      </c>
      <c r="H103" s="55" t="inlineStr">
        <is>
          <t>Desarrollo remoto en DigitalOcean: Redacción de manuales técnicos de arquitectura, configuración de servidor y...</t>
        </is>
      </c>
      <c r="I103" s="38" t="inlineStr">
        <is>
          <t>Proyección Programada</t>
        </is>
      </c>
    </row>
    <row r="104" ht="21" customHeight="1">
      <c r="A104" s="56" t="n">
        <v>100</v>
      </c>
      <c r="B104" s="21" t="inlineStr">
        <is>
          <t>Semana 23</t>
        </is>
      </c>
      <c r="C104" s="57" t="n">
        <v>46364</v>
      </c>
      <c r="D104" s="58">
        <f>CHOOSE(WEEKDAY(C104,2),"Lunes","Martes","Miércoles","Jueves","Viernes","Sábado","Domingo")</f>
        <v/>
      </c>
      <c r="E104" s="54" t="inlineStr">
        <is>
          <t>Oficina (Presencial)</t>
        </is>
      </c>
      <c r="F104" s="22" t="inlineStr">
        <is>
          <t>08:30 - 13:30</t>
        </is>
      </c>
      <c r="G104" s="26" t="n">
        <v>5</v>
      </c>
      <c r="H104" s="60" t="inlineStr">
        <is>
          <t>Jornada presencial en Protección Civil: Cotejo de manuales con el área jurídica y directivos de Protección Civil....</t>
        </is>
      </c>
      <c r="I104" s="38" t="inlineStr">
        <is>
          <t>Proyección Programada</t>
        </is>
      </c>
    </row>
    <row r="105" ht="21" customHeight="1">
      <c r="A105" s="51" t="n">
        <v>101</v>
      </c>
      <c r="B105" s="31" t="inlineStr">
        <is>
          <t>Semana 23</t>
        </is>
      </c>
      <c r="C105" s="52" t="n">
        <v>46366</v>
      </c>
      <c r="D105" s="53">
        <f>CHOOSE(WEEKDAY(C105,2),"Lunes","Martes","Miércoles","Jueves","Viernes","Sábado","Domingo")</f>
        <v/>
      </c>
      <c r="E105" s="59" t="inlineStr">
        <is>
          <t>Remoto (Desarrollo en Casa)</t>
        </is>
      </c>
      <c r="F105" s="32" t="inlineStr">
        <is>
          <t>10:00 - 14:00</t>
        </is>
      </c>
      <c r="G105" s="34" t="n">
        <v>4</v>
      </c>
      <c r="H105" s="55" t="inlineStr">
        <is>
          <t>Pruebas de endpoints, verificación de base de datos y depuración de vistas.</t>
        </is>
      </c>
      <c r="I105" s="38" t="inlineStr">
        <is>
          <t>Proyección Programada</t>
        </is>
      </c>
    </row>
    <row r="106" ht="21" customHeight="1">
      <c r="A106" s="56" t="n">
        <v>102</v>
      </c>
      <c r="B106" s="21" t="inlineStr">
        <is>
          <t>Semana 24</t>
        </is>
      </c>
      <c r="C106" s="57" t="n">
        <v>46370</v>
      </c>
      <c r="D106" s="58">
        <f>CHOOSE(WEEKDAY(C106,2),"Lunes","Martes","Miércoles","Jueves","Viernes","Sábado","Domingo")</f>
        <v/>
      </c>
      <c r="E106" s="59" t="inlineStr">
        <is>
          <t>Remoto (Desarrollo en Casa)</t>
        </is>
      </c>
      <c r="F106" s="22" t="inlineStr">
        <is>
          <t>10:00 - 14:00</t>
        </is>
      </c>
      <c r="G106" s="26" t="n">
        <v>4</v>
      </c>
      <c r="H106" s="60" t="inlineStr">
        <is>
          <t>Desarrollo remoto en DigitalOcean: Diseño de manual interactivo de usuario final en formato PDF digital respon...</t>
        </is>
      </c>
      <c r="I106" s="38" t="inlineStr">
        <is>
          <t>Proyección Programada</t>
        </is>
      </c>
    </row>
    <row r="107" ht="21" customHeight="1">
      <c r="A107" s="51" t="n">
        <v>103</v>
      </c>
      <c r="B107" s="31" t="inlineStr">
        <is>
          <t>Semana 24</t>
        </is>
      </c>
      <c r="C107" s="52" t="n">
        <v>46371</v>
      </c>
      <c r="D107" s="53">
        <f>CHOOSE(WEEKDAY(C107,2),"Lunes","Martes","Miércoles","Jueves","Viernes","Sábado","Domingo")</f>
        <v/>
      </c>
      <c r="E107" s="54" t="inlineStr">
        <is>
          <t>Oficina (Presencial)</t>
        </is>
      </c>
      <c r="F107" s="32" t="inlineStr">
        <is>
          <t>08:30 - 13:30</t>
        </is>
      </c>
      <c r="G107" s="34" t="n">
        <v>5</v>
      </c>
      <c r="H107" s="55" t="inlineStr">
        <is>
          <t>Jornada presencial en Protección Civil: Distribución de guías rápidas impresas al personal de comandancia....</t>
        </is>
      </c>
      <c r="I107" s="38" t="inlineStr">
        <is>
          <t>Proyección Programada</t>
        </is>
      </c>
    </row>
    <row r="108" ht="21" customHeight="1">
      <c r="A108" s="56" t="n">
        <v>104</v>
      </c>
      <c r="B108" s="21" t="inlineStr">
        <is>
          <t>Semana 24</t>
        </is>
      </c>
      <c r="C108" s="57" t="n">
        <v>46373</v>
      </c>
      <c r="D108" s="58">
        <f>CHOOSE(WEEKDAY(C108,2),"Lunes","Martes","Miércoles","Jueves","Viernes","Sábado","Domingo")</f>
        <v/>
      </c>
      <c r="E108" s="59" t="inlineStr">
        <is>
          <t>Remoto (Desarrollo en Casa)</t>
        </is>
      </c>
      <c r="F108" s="22" t="inlineStr">
        <is>
          <t>10:00 - 14:00</t>
        </is>
      </c>
      <c r="G108" s="26" t="n">
        <v>4</v>
      </c>
      <c r="H108" s="60" t="inlineStr">
        <is>
          <t>Pruebas de endpoints, verificación de base de datos y depuración de vistas.</t>
        </is>
      </c>
      <c r="I108" s="38" t="inlineStr">
        <is>
          <t>Proyección Programada</t>
        </is>
      </c>
    </row>
    <row r="109" ht="21" customHeight="1">
      <c r="A109" s="51" t="n">
        <v>105</v>
      </c>
      <c r="B109" s="31" t="inlineStr">
        <is>
          <t>Semana 25</t>
        </is>
      </c>
      <c r="C109" s="52" t="n">
        <v>46377</v>
      </c>
      <c r="D109" s="53">
        <f>CHOOSE(WEEKDAY(C109,2),"Lunes","Martes","Miércoles","Jueves","Viernes","Sábado","Domingo")</f>
        <v/>
      </c>
      <c r="E109" s="59" t="inlineStr">
        <is>
          <t>Remoto (Desarrollo en Casa)</t>
        </is>
      </c>
      <c r="F109" s="32" t="inlineStr">
        <is>
          <t>10:00 - 14:00</t>
        </is>
      </c>
      <c r="G109" s="34" t="n">
        <v>4</v>
      </c>
      <c r="H109" s="55" t="inlineStr">
        <is>
          <t>Monitoreo remoto de uptime, verificación de integridad de respaldos y depuración de logs.</t>
        </is>
      </c>
      <c r="I109" s="38" t="inlineStr">
        <is>
          <t>Proyección Programada</t>
        </is>
      </c>
    </row>
    <row r="110" ht="21" customHeight="1">
      <c r="A110" s="56" t="n">
        <v>106</v>
      </c>
      <c r="B110" s="21" t="inlineStr">
        <is>
          <t>Semana 26</t>
        </is>
      </c>
      <c r="C110" s="57" t="n">
        <v>46384</v>
      </c>
      <c r="D110" s="58">
        <f>CHOOSE(WEEKDAY(C110,2),"Lunes","Martes","Miércoles","Jueves","Viernes","Sábado","Domingo")</f>
        <v/>
      </c>
      <c r="E110" s="59" t="inlineStr">
        <is>
          <t>Remoto (Desarrollo en Casa)</t>
        </is>
      </c>
      <c r="F110" s="22" t="inlineStr">
        <is>
          <t>10:00 - 14:00</t>
        </is>
      </c>
      <c r="G110" s="26" t="n">
        <v>4</v>
      </c>
      <c r="H110" s="60" t="inlineStr">
        <is>
          <t>Optimización de base de datos para cierre anual y preparación para ejercicio 2027.</t>
        </is>
      </c>
      <c r="I110" s="38" t="inlineStr">
        <is>
          <t>Proyección Programada</t>
        </is>
      </c>
    </row>
    <row r="111" ht="21" customHeight="1">
      <c r="A111" s="51" t="n">
        <v>107</v>
      </c>
      <c r="B111" s="31" t="inlineStr">
        <is>
          <t>Semana 27</t>
        </is>
      </c>
      <c r="C111" s="52" t="n">
        <v>46391</v>
      </c>
      <c r="D111" s="53">
        <f>CHOOSE(WEEKDAY(C111,2),"Lunes","Martes","Miércoles","Jueves","Viernes","Sábado","Domingo")</f>
        <v/>
      </c>
      <c r="E111" s="59" t="inlineStr">
        <is>
          <t>Remoto (Desarrollo en Casa)</t>
        </is>
      </c>
      <c r="F111" s="32" t="inlineStr">
        <is>
          <t>10:00 - 14:00</t>
        </is>
      </c>
      <c r="G111" s="34" t="n">
        <v>4</v>
      </c>
      <c r="H111" s="55" t="inlineStr">
        <is>
          <t>Preparación de paquetes de cierre de código y exportación de estadísticas.</t>
        </is>
      </c>
      <c r="I111" s="38" t="inlineStr">
        <is>
          <t>Proyección Programada</t>
        </is>
      </c>
    </row>
    <row r="112" ht="21" customHeight="1">
      <c r="A112" s="56" t="n">
        <v>108</v>
      </c>
      <c r="B112" s="21" t="inlineStr">
        <is>
          <t>Semana 27</t>
        </is>
      </c>
      <c r="C112" s="57" t="n">
        <v>46392</v>
      </c>
      <c r="D112" s="58">
        <f>CHOOSE(WEEKDAY(C112,2),"Lunes","Martes","Miércoles","Jueves","Viernes","Sábado","Domingo")</f>
        <v/>
      </c>
      <c r="E112" s="54" t="inlineStr">
        <is>
          <t>Oficina (Presencial)</t>
        </is>
      </c>
      <c r="F112" s="22" t="inlineStr">
        <is>
          <t>09:00 - 12:00</t>
        </is>
      </c>
      <c r="G112" s="26" t="n">
        <v>3</v>
      </c>
      <c r="H112" s="60" t="inlineStr">
        <is>
          <t>Revisión en base con el Director Romero Pilar de las métricas consolidadas del sistema.</t>
        </is>
      </c>
      <c r="I112" s="38" t="inlineStr">
        <is>
          <t>Proyección Programada</t>
        </is>
      </c>
    </row>
    <row r="113" ht="21" customHeight="1">
      <c r="A113" s="51" t="n">
        <v>109</v>
      </c>
      <c r="B113" s="31" t="inlineStr">
        <is>
          <t>Semana 27</t>
        </is>
      </c>
      <c r="C113" s="52" t="n">
        <v>46393</v>
      </c>
      <c r="D113" s="53">
        <f>CHOOSE(WEEKDAY(C113,2),"Lunes","Martes","Miércoles","Jueves","Viernes","Sábado","Domingo")</f>
        <v/>
      </c>
      <c r="E113" s="59" t="inlineStr">
        <is>
          <t>Remoto (Desarrollo en Casa)</t>
        </is>
      </c>
      <c r="F113" s="32" t="inlineStr">
        <is>
          <t>10:00 - 14:00</t>
        </is>
      </c>
      <c r="G113" s="34" t="n">
        <v>4</v>
      </c>
      <c r="H113" s="55" t="inlineStr">
        <is>
          <t>Generación de respaldos maestros y verificación de configuración en DigitalOcean.</t>
        </is>
      </c>
      <c r="I113" s="38" t="inlineStr">
        <is>
          <t>Proyección Programada</t>
        </is>
      </c>
    </row>
    <row r="114" ht="21" customHeight="1">
      <c r="A114" s="56" t="n">
        <v>110</v>
      </c>
      <c r="B114" s="21" t="inlineStr">
        <is>
          <t>Semana 27</t>
        </is>
      </c>
      <c r="C114" s="57" t="n">
        <v>46394</v>
      </c>
      <c r="D114" s="58">
        <f>CHOOSE(WEEKDAY(C114,2),"Lunes","Martes","Miércoles","Jueves","Viernes","Sábado","Domingo")</f>
        <v/>
      </c>
      <c r="E114" s="54" t="inlineStr">
        <is>
          <t>Oficina (Presencial)</t>
        </is>
      </c>
      <c r="F114" s="22" t="inlineStr">
        <is>
          <t>09:00 - 12:00</t>
        </is>
      </c>
      <c r="G114" s="26" t="n">
        <v>3</v>
      </c>
      <c r="H114" s="60" t="inlineStr">
        <is>
          <t>Cotejo final de formatos de entrega y firmas administrativas.</t>
        </is>
      </c>
      <c r="I114" s="38" t="inlineStr">
        <is>
          <t>Proyección Programada</t>
        </is>
      </c>
    </row>
    <row r="115" ht="21" customHeight="1">
      <c r="A115" s="51" t="n">
        <v>111</v>
      </c>
      <c r="B115" s="31" t="inlineStr">
        <is>
          <t>Semana 27</t>
        </is>
      </c>
      <c r="C115" s="52" t="n">
        <v>46395</v>
      </c>
      <c r="D115" s="53">
        <f>CHOOSE(WEEKDAY(C115,2),"Lunes","Martes","Miércoles","Jueves","Viernes","Sábado","Domingo")</f>
        <v/>
      </c>
      <c r="E115" s="59" t="inlineStr">
        <is>
          <t>Remoto (Desarrollo en Casa)</t>
        </is>
      </c>
      <c r="F115" s="32" t="inlineStr">
        <is>
          <t>10:00 - 14:00</t>
        </is>
      </c>
      <c r="G115" s="34" t="n">
        <v>4</v>
      </c>
      <c r="H115" s="55" t="inlineStr">
        <is>
          <t>Auditoría de seguridad y cierre de repositorio en GitHub.</t>
        </is>
      </c>
      <c r="I115" s="38" t="inlineStr">
        <is>
          <t>Proyección Programada</t>
        </is>
      </c>
    </row>
    <row r="116" ht="21" customHeight="1">
      <c r="A116" s="56" t="n">
        <v>112</v>
      </c>
      <c r="B116" s="21" t="inlineStr">
        <is>
          <t>Semana 28</t>
        </is>
      </c>
      <c r="C116" s="57" t="n">
        <v>46398</v>
      </c>
      <c r="D116" s="58">
        <f>CHOOSE(WEEKDAY(C116,2),"Lunes","Martes","Miércoles","Jueves","Viernes","Sábado","Domingo")</f>
        <v/>
      </c>
      <c r="E116" s="54" t="inlineStr">
        <is>
          <t>Oficina (Presencial)</t>
        </is>
      </c>
      <c r="F116" s="22" t="inlineStr">
        <is>
          <t>09:00 - 13:00</t>
        </is>
      </c>
      <c r="G116" s="26" t="n">
        <v>4</v>
      </c>
      <c r="H116" s="60" t="inlineStr">
        <is>
          <t>Entrega formal de credenciales maestras, código fuente y firma de liberación de servicio social con el Director Romero Pilar.</t>
        </is>
      </c>
      <c r="I116" s="38" t="inlineStr">
        <is>
          <t>Proyección Programada</t>
        </is>
      </c>
    </row>
    <row r="117" ht="26" customHeight="1">
      <c r="A117" s="41" t="inlineStr">
        <is>
          <t>TOTAL GENERAL DE HORAS REGISTRADAS EN BITÁCORA DIARIA:</t>
        </is>
      </c>
      <c r="B117" s="42" t="n"/>
      <c r="C117" s="42" t="n"/>
      <c r="D117" s="42" t="n"/>
      <c r="E117" s="42" t="n"/>
      <c r="F117" s="42" t="n"/>
      <c r="G117" s="45">
        <f>SUM(G5:G116)</f>
        <v/>
      </c>
      <c r="H117" s="61" t="n"/>
      <c r="I117" s="61" t="n"/>
    </row>
  </sheetData>
  <mergeCells count="3">
    <mergeCell ref="A1:I1"/>
    <mergeCell ref="A117:F117"/>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cols>
    <col width="5" customWidth="1" min="1" max="1"/>
    <col width="25" customWidth="1" min="2" max="2"/>
    <col width="35" customWidth="1" min="3" max="3"/>
    <col width="35" customWidth="1" min="4" max="4"/>
    <col width="20" customWidth="1" min="5" max="5"/>
    <col width="16" customWidth="1" min="6" max="6"/>
    <col width="12" customWidth="1" min="7" max="7"/>
  </cols>
  <sheetData>
    <row r="1" ht="36" customHeight="1">
      <c r="A1" s="62" t="inlineStr">
        <is>
          <t>DICTAMEN TÉCNICO Y JUSTIFICACIÓN DE MODALIDAD HÍBRIDA (DESARROLLO REMOTO / PRESENCIAL)</t>
        </is>
      </c>
    </row>
    <row r="2" ht="20" customHeight="1">
      <c r="A2" s="2" t="inlineStr">
        <is>
          <t>Informe Oficial de Viabilidad Técnica, Conectividad y Ergonomía • Dirección de Protección Civil Medellín de Bravo</t>
        </is>
      </c>
    </row>
    <row r="4" ht="24" customHeight="1">
      <c r="A4" s="63" t="inlineStr">
        <is>
          <t>I. ANTECEDENTES Y PROPÓSITO DEL PROYECTO INFORMÁTICO</t>
        </is>
      </c>
      <c r="B4" s="64" t="n"/>
      <c r="C4" s="64" t="n"/>
      <c r="D4" s="64" t="n"/>
      <c r="E4" s="64" t="n"/>
      <c r="F4" s="64" t="n"/>
      <c r="G4" s="64" t="n"/>
    </row>
    <row r="5" ht="36" customHeight="1">
      <c r="A5" s="65" t="inlineStr">
        <is>
          <t>•</t>
        </is>
      </c>
      <c r="B5" s="66" t="inlineStr">
        <is>
          <t>Contexto Institucional</t>
        </is>
      </c>
      <c r="C5" s="67" t="inlineStr">
        <is>
          <t>El prestador de servicio social, C. Josue Burela, estudiante de Ingeniería en Sistemas Computacionales, tiene a su cargo el desarrollo, despliegue y puesta en marcha del 'Sistema Integral de Gestión Operativa, Trámites y Digitalización de Reportes' para la Dirección de Protección Civil de Medellín de Bravo.</t>
        </is>
      </c>
      <c r="D5" s="7" t="n"/>
      <c r="E5" s="7" t="n"/>
      <c r="F5" s="7" t="n"/>
      <c r="G5" s="7" t="n"/>
    </row>
    <row r="6" ht="36" customHeight="1">
      <c r="A6" s="65" t="inlineStr">
        <is>
          <t>•</t>
        </is>
      </c>
      <c r="B6" s="66" t="inlineStr">
        <is>
          <t>Metodología de Prototipado Ágil</t>
        </is>
      </c>
      <c r="C6" s="67" t="inlineStr">
        <is>
          <t>Desde la Semana 1 se adoptó una metodología interactiva basada en prototipado rápido (UI/UX): maquetar pantallas y flujos de navegación para presentarlos directamente al personal directivo y operativo, evaluando en sitio qué funciones resultan prácticas y adaptando o modificando de inmediato aquellos componentes que no se ajustan a la operación real.</t>
        </is>
      </c>
      <c r="D6" s="7" t="n"/>
      <c r="E6" s="7" t="n"/>
      <c r="F6" s="7" t="n"/>
      <c r="G6" s="7" t="n"/>
    </row>
    <row r="7" ht="36" customHeight="1">
      <c r="A7" s="65" t="inlineStr">
        <is>
          <t>•</t>
        </is>
      </c>
      <c r="B7" s="66" t="inlineStr">
        <is>
          <t>Autorización Oficial de Servidor Cloud</t>
        </is>
      </c>
      <c r="C7" s="67" t="inlineStr">
        <is>
          <t>En la Semana 3, tras evaluar la versión preliminar local, el C. Daniel Eduardo Romero Pilar, Director de Protección Civil, aprobó y autorizó formalmente la contratación de una infraestructura Cloud (Droplet en DigitalOcean) configurada para pruebas operativas cerradas, sirviendo como entorno oficial de demostración para su presentación ante Presidencia Municipal, el C. Alcalde y autoridades correspondientes.</t>
        </is>
      </c>
      <c r="D7" s="7" t="n"/>
      <c r="E7" s="7" t="n"/>
      <c r="F7" s="7" t="n"/>
      <c r="G7" s="7" t="n"/>
    </row>
    <row r="9" ht="24" customHeight="1">
      <c r="A9" s="63" t="inlineStr">
        <is>
          <t>II. ANÁLISIS DE TELECOMUNICACIONES Y CONECTIVIDAD (RED 15 MBPS VS FIBRA 250 MBPS)</t>
        </is>
      </c>
      <c r="B9" s="64" t="n"/>
      <c r="C9" s="64" t="n"/>
      <c r="D9" s="64" t="n"/>
      <c r="E9" s="64" t="n"/>
      <c r="F9" s="64" t="n"/>
      <c r="G9" s="64" t="n"/>
    </row>
    <row r="10" ht="36" customHeight="1">
      <c r="A10" s="65" t="inlineStr">
        <is>
          <t>•</t>
        </is>
      </c>
      <c r="B10" s="66" t="inlineStr">
        <is>
          <t>Diagnóstico de Red en Oficina Sede (~15 Mbps)</t>
        </is>
      </c>
      <c r="C10" s="67" t="inlineStr">
        <is>
          <t>La sede operativa dispone de un enlace de internet convencional asimétrico de capacidad reducida (~15 Mbps de bajada / ~2 Mbps de subida). Dicho enlace es de uso compartido y crítico para las terminales de despacho de radio-cabina, telefonía IP de emergencias y labores administrativas, presentando alta saturación y fluctuaciones de latencia superiores a 180 ms.</t>
        </is>
      </c>
      <c r="D10" s="7" t="n"/>
      <c r="E10" s="7" t="n"/>
      <c r="F10" s="7" t="n"/>
      <c r="G10" s="7" t="n"/>
    </row>
    <row r="11" ht="36" customHeight="1">
      <c r="A11" s="65" t="inlineStr">
        <is>
          <t>•</t>
        </is>
      </c>
      <c r="B11" s="66" t="inlineStr">
        <is>
          <t>Impacto Crítico en Ingeniería de Software en DigitalOcean</t>
        </is>
      </c>
      <c r="C11" s="67" t="inlineStr">
        <is>
          <t>Las tareas de desarrollo de software profesional en el droplet de DigitalOcean demandan transferencia continua de paquetes, túneles SSH interactivos, sincronización Git, compilación de dependencias y pruebas de endpoints. En el enlace local de 15 Mbps, estas operaciones sufrían desconexiones constantes ('Broken Pipe'), lag en terminal y tiempos muertos improductivos.</t>
        </is>
      </c>
      <c r="D11" s="7" t="n"/>
      <c r="E11" s="7" t="n"/>
      <c r="F11" s="7" t="n"/>
      <c r="G11" s="7" t="n"/>
    </row>
    <row r="12" ht="36" customHeight="1">
      <c r="A12" s="65" t="inlineStr">
        <is>
          <t>•</t>
        </is>
      </c>
      <c r="B12" s="66" t="inlineStr">
        <is>
          <t>Ventaja Técnica de la Estación Remota (Fibra Óptica 250 Mbps)</t>
        </is>
      </c>
      <c r="C12" s="67" t="inlineStr">
        <is>
          <t>La estación de desarrollo externa asignada en casa cuenta con enlace de fibra óptica simétrico de alta velocidad de 250 Mbps con latencia menor a 15 ms hacia los centros de datos de DigitalOcean. Esto permite desplegar contenedores y realizar consultas masivas en segundos sin interferir con la red operativa de emergencias de la base.</t>
        </is>
      </c>
      <c r="D12" s="7" t="n"/>
      <c r="E12" s="7" t="n"/>
      <c r="F12" s="7" t="n"/>
      <c r="G12" s="7" t="n"/>
    </row>
    <row r="14" ht="24" customHeight="1">
      <c r="A14" s="63" t="inlineStr">
        <is>
          <t>III. INFRAESTRUCTURA FÍSICA, DISPONIBILIDAD DE MOBILIARIO Y CONDICIONES ERGONÓMICAS</t>
        </is>
      </c>
      <c r="B14" s="64" t="n"/>
      <c r="C14" s="64" t="n"/>
      <c r="D14" s="64" t="n"/>
      <c r="E14" s="64" t="n"/>
      <c r="F14" s="64" t="n"/>
      <c r="G14" s="64" t="n"/>
    </row>
    <row r="15" ht="36" customHeight="1">
      <c r="A15" s="65" t="inlineStr">
        <is>
          <t>•</t>
        </is>
      </c>
      <c r="B15" s="66" t="inlineStr">
        <is>
          <t>Prioridad de Mobiliario para Personal Operativo</t>
        </is>
      </c>
      <c r="C15" s="67" t="inlineStr">
        <is>
          <t>El inmueble de la Dirección de Protección Civil cuenta con un número limitado de estaciones físicas de trabajo, las cuales están debidamente priorizadas y reservadas para el personal operativo en servicio activo de guardia (comandancia, radioperador de frecuencia y paramédicos).</t>
        </is>
      </c>
      <c r="D15" s="7" t="n"/>
      <c r="E15" s="7" t="n"/>
      <c r="F15" s="7" t="n"/>
      <c r="G15" s="7" t="n"/>
    </row>
    <row r="16" ht="36" customHeight="1">
      <c r="A16" s="65" t="inlineStr">
        <is>
          <t>•</t>
        </is>
      </c>
      <c r="B16" s="66" t="inlineStr">
        <is>
          <t>Inexistencia de Módulo Informático Asignado</t>
        </is>
      </c>
      <c r="C16" s="67" t="inlineStr">
        <is>
          <t>La dependencia no cuenta con un escritorio o cubículo fijo para el área de sistemas. Desarrollar jornadas extensas de programación en la oficina obligaba a ocupar provisionalmente asientos de atención ciudadana, rotar entre escritorios conforme se desocupaban o esperar en áreas de tránsito, lo que resultaba inviable para sesiones continuas de codificación.</t>
        </is>
      </c>
      <c r="D16" s="7" t="n"/>
      <c r="E16" s="7" t="n"/>
      <c r="F16" s="7" t="n"/>
      <c r="G16" s="7" t="n"/>
    </row>
    <row r="17" ht="36" customHeight="1">
      <c r="A17" s="65" t="inlineStr">
        <is>
          <t>•</t>
        </is>
      </c>
      <c r="B17" s="66" t="inlineStr">
        <is>
          <t>Ergonomía de la Estación de Trabajo en Casa</t>
        </is>
      </c>
      <c r="C17" s="67" t="inlineStr">
        <is>
          <t>El entorno remoto dispone de una estación de trabajo ergonómica acondicionada con hardware de alto rendimiento, monitor secundario para depuración simultánea de código y un entorno acústicamente controlado, libre de las interrupciones inherentes a las alertas y sirenas de una base de emergencias.</t>
        </is>
      </c>
      <c r="D17" s="7" t="n"/>
      <c r="E17" s="7" t="n"/>
      <c r="F17" s="7" t="n"/>
      <c r="G17" s="7" t="n"/>
    </row>
    <row r="19" ht="24" customHeight="1">
      <c r="A19" s="63" t="inlineStr">
        <is>
          <t>IV. DINÁMICA DE JORNADAS EXTENSAS Y TRABAJO DE CIENCIA DE DATOS (REPORTE ANUAL)</t>
        </is>
      </c>
      <c r="B19" s="64" t="n"/>
      <c r="C19" s="64" t="n"/>
      <c r="D19" s="64" t="n"/>
      <c r="E19" s="64" t="n"/>
      <c r="F19" s="64" t="n"/>
      <c r="G19" s="64" t="n"/>
    </row>
    <row r="20" ht="36" customHeight="1">
      <c r="A20" s="65" t="inlineStr">
        <is>
          <t>•</t>
        </is>
      </c>
      <c r="B20" s="66" t="inlineStr">
        <is>
          <t>Jornadas Dispares y Esfuerzo Técnico Prolongado</t>
        </is>
      </c>
      <c r="C20" s="67" t="inlineStr">
        <is>
          <t>La naturaleza de la ingeniería de software implica jornadas variables: días donde se trabaja remoto durante 5 a 6 horas seguidas resolviendo errores de compilación y rediseño de arquitectura; y días donde a una jornada de 4 horas en oficina se le suman 4 a 5 horas vespertinas en remoto depurando incidencias complejas.</t>
        </is>
      </c>
      <c r="D20" s="7" t="n"/>
      <c r="E20" s="7" t="n"/>
      <c r="F20" s="7" t="n"/>
      <c r="G20" s="7" t="n"/>
    </row>
    <row r="21" ht="36" customHeight="1">
      <c r="A21" s="65" t="inlineStr">
        <is>
          <t>•</t>
        </is>
      </c>
      <c r="B21" s="66" t="inlineStr">
        <is>
          <t>Herramientas para Personal Administrativo</t>
        </is>
      </c>
      <c r="C21" s="67" t="inlineStr">
        <is>
          <t>En la Semana 4 se implementaron herramientas específicas para las licenciadas de la oficina: control de correspondencia oficial, asignación automática de folios y visor de expedientes para agilizar su labor jurídica y administrativa.</t>
        </is>
      </c>
      <c r="D21" s="7" t="n"/>
      <c r="E21" s="7" t="n"/>
      <c r="F21" s="7" t="n"/>
      <c r="G21" s="7" t="n"/>
    </row>
    <row r="22" ht="36" customHeight="1">
      <c r="A22" s="65" t="inlineStr">
        <is>
          <t>•</t>
        </is>
      </c>
      <c r="B22" s="66" t="inlineStr">
        <is>
          <t>Sprint de Ciencia de Datos para Dictamen Anual (Semana del 11 de Septiembre)</t>
        </is>
      </c>
      <c r="C22" s="67" t="inlineStr">
        <is>
          <t>Con motivo de la instrucción de Presidencia Municipal de generar el Dictamen Anual de Incidentes (01 de enero al 10 de septiembre de 2026), se dedicaron más de 47 horas intensivas (presenciales y nocturnas remotas) aplicando Ciencia de Datos: limpieza masiva con Pandas de bases heterogéneas, depuración de nulos, estandarización cartográfica, modelado estadístico y generación de reportes maestros en Excel y PDF para el Director Romero Pilar y el Alcalde.</t>
        </is>
      </c>
      <c r="D22" s="7" t="n"/>
      <c r="E22" s="7" t="n"/>
      <c r="F22" s="7" t="n"/>
      <c r="G22" s="7" t="n"/>
    </row>
    <row r="24" ht="24" customHeight="1">
      <c r="A24" s="63" t="inlineStr">
        <is>
          <t>V. MATRIZ DEL MODELO HÍBRIDO (500 HORAS TOTALES)</t>
        </is>
      </c>
      <c r="B24" s="64" t="n"/>
      <c r="C24" s="64" t="n"/>
      <c r="D24" s="64" t="n"/>
      <c r="E24" s="64" t="n"/>
      <c r="F24" s="64" t="n"/>
      <c r="G24" s="64" t="n"/>
    </row>
    <row r="25" ht="24" customHeight="1">
      <c r="A25" s="65" t="inlineStr">
        <is>
          <t>•</t>
        </is>
      </c>
      <c r="B25" s="66" t="inlineStr">
        <is>
          <t>Desglose Global de Horas</t>
        </is>
      </c>
      <c r="C25" s="67" t="inlineStr">
        <is>
          <t>Total 500 Horas = 177.0 Horas Presenciales en Sede (35.4%) + 323.0 Horas de Desarrollo Remoto (64.6%).</t>
        </is>
      </c>
      <c r="D25" s="7" t="n"/>
      <c r="E25" s="7" t="n"/>
      <c r="F25" s="7" t="n"/>
      <c r="G25" s="7" t="n"/>
    </row>
    <row r="26" ht="24" customHeight="1">
      <c r="A26" s="65" t="inlineStr">
        <is>
          <t>•</t>
        </is>
      </c>
      <c r="B26" s="66" t="inlineStr">
        <is>
          <t>Avance Real al 11 de Septiembre de 2026</t>
        </is>
      </c>
      <c r="C26" s="67" t="inlineStr">
        <is>
          <t>291.0 Horas Ejecutadas y Validadas (58.2% de avance real) distribuidas en 10 semanas de trabajo continuo.</t>
        </is>
      </c>
      <c r="D26" s="7" t="n"/>
      <c r="E26" s="7" t="n"/>
      <c r="F26" s="7" t="n"/>
      <c r="G26" s="7" t="n"/>
    </row>
    <row r="27" ht="36" customHeight="1">
      <c r="A27" s="65" t="inlineStr">
        <is>
          <t>•</t>
        </is>
      </c>
      <c r="B27" s="66" t="inlineStr">
        <is>
          <t>Programación de Cierre (Sep 2026 - Ene 2027)</t>
        </is>
      </c>
      <c r="C27" s="67" t="inlineStr">
        <is>
          <t>209.0 Horas Programadas (41.8%) organizadas de la Semana 11 a la Semana 28 para culminar formalmente el 11 de enero de 2027.</t>
        </is>
      </c>
      <c r="D27" s="7" t="n"/>
      <c r="E27" s="7" t="n"/>
      <c r="F27" s="7" t="n"/>
      <c r="G27" s="7" t="n"/>
    </row>
    <row r="28" ht="36" customHeight="1">
      <c r="A28" s="65" t="inlineStr">
        <is>
          <t>•</t>
        </is>
      </c>
      <c r="B28" s="66" t="inlineStr">
        <is>
          <t>Dictamen de Viabilidad Institucional</t>
        </is>
      </c>
      <c r="C28" s="67" t="inlineStr">
        <is>
          <t>El modelo híbrido ha demostrado ser la estrategia óptima para la Dirección de Protección Civil: garantiza la entrega de una plataforma de alto impacto tecnológico sin sobrecargar el ancho de banda ni el espacio físico de la corporación.</t>
        </is>
      </c>
      <c r="D28" s="7" t="n"/>
      <c r="E28" s="7" t="n"/>
      <c r="F28" s="7" t="n"/>
      <c r="G28" s="7" t="n"/>
    </row>
    <row r="31" ht="20" customHeight="1">
      <c r="B31" s="68" t="inlineStr">
        <is>
          <t>Prestador de Servicio Social:</t>
        </is>
      </c>
      <c r="E31" s="68" t="inlineStr">
        <is>
          <t>Vo. Bo. Titular de la Dependencia:</t>
        </is>
      </c>
    </row>
    <row r="34" ht="22" customHeight="1">
      <c r="B34" s="69" t="inlineStr">
        <is>
          <t>C. Josue Burela
Ingeniería en Sistemas Computacionales</t>
        </is>
      </c>
      <c r="E34" s="69" t="inlineStr">
        <is>
          <t>C. Daniel Eduardo Romero Pilar
Director de Protección Civil Medellín</t>
        </is>
      </c>
    </row>
  </sheetData>
  <mergeCells count="27">
    <mergeCell ref="A14:G14"/>
    <mergeCell ref="C6:G6"/>
    <mergeCell ref="C15:G15"/>
    <mergeCell ref="A4:G4"/>
    <mergeCell ref="C5:G5"/>
    <mergeCell ref="B31:C31"/>
    <mergeCell ref="A19:G19"/>
    <mergeCell ref="C26:G26"/>
    <mergeCell ref="C20:G20"/>
    <mergeCell ref="A9:G9"/>
    <mergeCell ref="C10:G10"/>
    <mergeCell ref="C16:G16"/>
    <mergeCell ref="C25:G25"/>
    <mergeCell ref="A24:G24"/>
    <mergeCell ref="C22:G22"/>
    <mergeCell ref="E31:F31"/>
    <mergeCell ref="E34:F34"/>
    <mergeCell ref="C21:G21"/>
    <mergeCell ref="A1:G1"/>
    <mergeCell ref="C12:G12"/>
    <mergeCell ref="B34:C34"/>
    <mergeCell ref="C11:G11"/>
    <mergeCell ref="C27:G27"/>
    <mergeCell ref="C17:G17"/>
    <mergeCell ref="C7:G7"/>
    <mergeCell ref="C28:G2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showGridLines="1" workbookViewId="0">
      <selection activeCell="A1" sqref="A1"/>
    </sheetView>
  </sheetViews>
  <sheetFormatPr baseColWidth="8" defaultRowHeight="15"/>
  <cols>
    <col width="20" customWidth="1" min="1" max="1"/>
    <col width="26" customWidth="1" min="2" max="2"/>
    <col width="16" customWidth="1" min="3" max="3"/>
    <col width="16" customWidth="1" min="4" max="4"/>
    <col width="16" customWidth="1" min="5" max="5"/>
    <col width="18" customWidth="1" min="6" max="6"/>
    <col width="16" customWidth="1" min="7" max="7"/>
  </cols>
  <sheetData>
    <row r="1" ht="34" customHeight="1">
      <c r="A1" s="62" t="inlineStr">
        <is>
          <t>RESUMEN MENSUAL CONSOLIDADO DE HORAS (JULIO 2026 - ENERO 2027)</t>
        </is>
      </c>
    </row>
    <row r="2" ht="20" customHeight="1">
      <c r="A2" s="2" t="inlineStr">
        <is>
          <t>Desglose comparativo de horas en Oficina vs Desarrollo Remoto por mes • Meta: 500 Horas</t>
        </is>
      </c>
    </row>
    <row r="4" ht="26" customHeight="1">
      <c r="A4" s="70" t="inlineStr">
        <is>
          <t>Mes / Ejercicio</t>
        </is>
      </c>
      <c r="B4" s="70" t="inlineStr">
        <is>
          <t>Período Cubierto</t>
        </is>
      </c>
      <c r="C4" s="70" t="inlineStr">
        <is>
          <t>Horas Oficina</t>
        </is>
      </c>
      <c r="D4" s="70" t="inlineStr">
        <is>
          <t>Horas Remoto</t>
        </is>
      </c>
      <c r="E4" s="70" t="inlineStr">
        <is>
          <t>Total del Mes</t>
        </is>
      </c>
      <c r="F4" s="70" t="inlineStr">
        <is>
          <t>Horas Acumuladas</t>
        </is>
      </c>
      <c r="G4" s="70" t="inlineStr">
        <is>
          <t>% Avance Global</t>
        </is>
      </c>
    </row>
    <row r="5" ht="24" customHeight="1">
      <c r="A5" s="71" t="inlineStr">
        <is>
          <t>Mes 1 - Julio 2026</t>
        </is>
      </c>
      <c r="B5" s="32" t="inlineStr">
        <is>
          <t>06/07/2026 al 31/07/2026 (S1-S4)</t>
        </is>
      </c>
      <c r="C5" s="24" t="n">
        <v>40</v>
      </c>
      <c r="D5" s="25" t="n">
        <v>65.5</v>
      </c>
      <c r="E5" s="34">
        <f>C5+D5</f>
        <v/>
      </c>
      <c r="F5" s="35">
        <f>E5</f>
        <v/>
      </c>
      <c r="G5" s="36">
        <f>F5/500</f>
        <v/>
      </c>
    </row>
    <row r="6" ht="24" customHeight="1">
      <c r="A6" s="72" t="inlineStr">
        <is>
          <t>Mes 2 - Agosto 2026</t>
        </is>
      </c>
      <c r="B6" s="22" t="inlineStr">
        <is>
          <t>01/08/2026 al 31/08/2026 (S5-S8)</t>
        </is>
      </c>
      <c r="C6" s="24" t="n">
        <v>32</v>
      </c>
      <c r="D6" s="25" t="n">
        <v>77</v>
      </c>
      <c r="E6" s="26">
        <f>C6+D6</f>
        <v/>
      </c>
      <c r="F6" s="27">
        <f>F5+E6</f>
        <v/>
      </c>
      <c r="G6" s="28">
        <f>F6/500</f>
        <v/>
      </c>
    </row>
    <row r="7" ht="24" customHeight="1">
      <c r="A7" s="71" t="inlineStr">
        <is>
          <t>Mes 3 - Septiembre 2026</t>
        </is>
      </c>
      <c r="B7" s="32" t="inlineStr">
        <is>
          <t>01/09/2026 al 30/09/2026 (S9-S13)</t>
        </is>
      </c>
      <c r="C7" s="24" t="n">
        <v>42</v>
      </c>
      <c r="D7" s="25" t="n">
        <v>72.5</v>
      </c>
      <c r="E7" s="34">
        <f>C7+D7</f>
        <v/>
      </c>
      <c r="F7" s="35">
        <f>F6+E7</f>
        <v/>
      </c>
      <c r="G7" s="36">
        <f>F7/500</f>
        <v/>
      </c>
    </row>
    <row r="8" ht="24" customHeight="1">
      <c r="A8" s="72" t="inlineStr">
        <is>
          <t>Mes 4 - Octubre 2026</t>
        </is>
      </c>
      <c r="B8" s="22" t="inlineStr">
        <is>
          <t>01/10/2026 al 31/10/2026 (S14-S17)</t>
        </is>
      </c>
      <c r="C8" s="24" t="n">
        <v>20</v>
      </c>
      <c r="D8" s="25" t="n">
        <v>32</v>
      </c>
      <c r="E8" s="26">
        <f>C8+D8</f>
        <v/>
      </c>
      <c r="F8" s="27">
        <f>F7+E8</f>
        <v/>
      </c>
      <c r="G8" s="28">
        <f>F8/500</f>
        <v/>
      </c>
    </row>
    <row r="9" ht="24" customHeight="1">
      <c r="A9" s="71" t="inlineStr">
        <is>
          <t>Mes 5 - Noviembre 2026</t>
        </is>
      </c>
      <c r="B9" s="32" t="inlineStr">
        <is>
          <t>01/11/2026 al 30/11/2026 (S18-S22)</t>
        </is>
      </c>
      <c r="C9" s="24" t="n">
        <v>23</v>
      </c>
      <c r="D9" s="25" t="n">
        <v>40</v>
      </c>
      <c r="E9" s="34">
        <f>C9+D9</f>
        <v/>
      </c>
      <c r="F9" s="35">
        <f>F8+E9</f>
        <v/>
      </c>
      <c r="G9" s="36">
        <f>F9/500</f>
        <v/>
      </c>
    </row>
    <row r="10" ht="24" customHeight="1">
      <c r="A10" s="72" t="inlineStr">
        <is>
          <t>Mes 6 - Diciembre 2026</t>
        </is>
      </c>
      <c r="B10" s="22" t="inlineStr">
        <is>
          <t>01/12/2026 al 31/12/2026 (S23-S26)</t>
        </is>
      </c>
      <c r="C10" s="24" t="n">
        <v>10</v>
      </c>
      <c r="D10" s="25" t="n">
        <v>24</v>
      </c>
      <c r="E10" s="26">
        <f>C10+D10</f>
        <v/>
      </c>
      <c r="F10" s="27">
        <f>F9+E10</f>
        <v/>
      </c>
      <c r="G10" s="28">
        <f>F10/500</f>
        <v/>
      </c>
    </row>
    <row r="11" ht="24" customHeight="1">
      <c r="A11" s="71" t="inlineStr">
        <is>
          <t>Mes 7 - Enero 2027</t>
        </is>
      </c>
      <c r="B11" s="32" t="inlineStr">
        <is>
          <t>01/01/2027 al 11/01/2027 (S27-S28)</t>
        </is>
      </c>
      <c r="C11" s="24" t="n">
        <v>10</v>
      </c>
      <c r="D11" s="25" t="n">
        <v>12</v>
      </c>
      <c r="E11" s="34">
        <f>C11+D11</f>
        <v/>
      </c>
      <c r="F11" s="35">
        <f>F10+E11</f>
        <v/>
      </c>
      <c r="G11" s="36">
        <f>F11/500</f>
        <v/>
      </c>
    </row>
    <row r="12" ht="26" customHeight="1">
      <c r="A12" s="73" t="inlineStr">
        <is>
          <t>TOTAL CONSOLIDADO ACUMULADO:</t>
        </is>
      </c>
      <c r="B12" s="74" t="n"/>
      <c r="C12" s="75">
        <f>SUM(C5:C11)</f>
        <v/>
      </c>
      <c r="D12" s="76">
        <f>SUM(D5:D11)</f>
        <v/>
      </c>
      <c r="E12" s="77">
        <f>SUM(E5:E11)</f>
        <v/>
      </c>
      <c r="F12" s="77">
        <f>F11</f>
        <v/>
      </c>
      <c r="G12" s="47">
        <f>F11/500</f>
        <v/>
      </c>
    </row>
  </sheetData>
  <mergeCells count="3">
    <mergeCell ref="A2:G2"/>
    <mergeCell ref="A1:G1"/>
    <mergeCell ref="A12:B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Control Semanal (500 hrs)</vt:lpstr>
      <vt:lpstr>Bitácora Diaria Detallada</vt:lpstr>
      <vt:lpstr>Justificación Modalidad Remota</vt:lpstr>
      <vt:lpstr>Resumen Mensual</vt:lpstr>
    </vt:vector>
  </TitlesOfParts>
  <Company>Dirección de Protección Civil Medellín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Control y Bitácora de Horas - Servicio Social</dc:title>
  <dc:subject>Servicio Social Protección Civil Medellín - Ingeniería en Sistemas</dc:subject>
  <dc:creator>Josue Burela</dc:creator>
  <cp:keywords>Servicio Social, Bitacora, Horas, Control Semanal, Presencial, Remoto, DigitalOcean, Daniel Eduardo Romero Pilar</cp:keywords>
  <dc:description>Control de 500 horas de servicio social con desglose presencial y desarrollo remoto en cloud, corte al 11 de septiembre de 2026 y programación a enero de 2027.</dc:description>
  <cp:lastModifiedBy>Josue Burela</cp:lastModifiedBy>
  <dcterms:created xsi:type="dcterms:W3CDTF">2026-07-01T08:00:00Z</dcterms:created>
  <dcterms:modified xsi:type="dcterms:W3CDTF">2026-07-01T08:35:00Z</dcterms:modified>
</cp:coreProperties>
</file>