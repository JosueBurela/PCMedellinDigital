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rote\Documents\ANEL\FORMATOS\informe de resultados\"/>
    </mc:Choice>
  </mc:AlternateContent>
  <xr:revisionPtr revIDLastSave="0" documentId="13_ncr:1_{BB612C9E-0D74-46A5-94AE-49A7138A3DB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Hoja1" sheetId="1" r:id="rId1"/>
    <sheet name="Hoja1 (2)" sheetId="2" r:id="rId2"/>
    <sheet name="090426" sheetId="3" r:id="rId3"/>
    <sheet name="020926" sheetId="4" r:id="rId4"/>
  </sheets>
  <definedNames>
    <definedName name="_xlnm.Print_Area" localSheetId="3">'020926'!$A$1:$O$37</definedName>
    <definedName name="_xlnm.Print_Area" localSheetId="2">'090426'!$A$1:$G$36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4" l="1"/>
  <c r="N14" i="4"/>
  <c r="I14" i="4"/>
  <c r="E14" i="4"/>
  <c r="H36" i="4"/>
  <c r="E36" i="4"/>
  <c r="J33" i="4"/>
  <c r="H33" i="4"/>
  <c r="E33" i="4"/>
  <c r="M30" i="4"/>
  <c r="L30" i="4"/>
  <c r="J30" i="4"/>
  <c r="H30" i="4"/>
  <c r="E30" i="4"/>
  <c r="M14" i="4"/>
  <c r="L14" i="4"/>
  <c r="J14" i="4"/>
  <c r="H14" i="4"/>
  <c r="E35" i="3"/>
  <c r="D35" i="3"/>
  <c r="C35" i="3"/>
  <c r="B35" i="3"/>
  <c r="E29" i="3"/>
  <c r="D32" i="3"/>
  <c r="C32" i="3"/>
  <c r="B32" i="3"/>
  <c r="G29" i="3"/>
  <c r="F29" i="3"/>
  <c r="D29" i="3"/>
  <c r="C29" i="3"/>
  <c r="B29" i="3"/>
  <c r="F26" i="3"/>
  <c r="E26" i="3"/>
  <c r="D26" i="3"/>
  <c r="C26" i="3"/>
  <c r="G26" i="3" s="1"/>
  <c r="G25" i="3"/>
  <c r="G24" i="3"/>
  <c r="G23" i="3"/>
  <c r="G22" i="3"/>
  <c r="G21" i="3"/>
  <c r="G20" i="3"/>
  <c r="G19" i="3"/>
  <c r="G18" i="3"/>
  <c r="G17" i="3"/>
  <c r="F14" i="3"/>
  <c r="E14" i="3"/>
  <c r="D14" i="3"/>
  <c r="C14" i="3"/>
  <c r="G14" i="3" s="1"/>
  <c r="G13" i="3"/>
  <c r="G12" i="3"/>
  <c r="G11" i="3"/>
  <c r="G10" i="3"/>
  <c r="G9" i="3"/>
  <c r="G8" i="3"/>
  <c r="G7" i="3"/>
  <c r="G6" i="3"/>
  <c r="G5" i="3"/>
  <c r="J13" i="2"/>
  <c r="J12" i="2"/>
  <c r="J11" i="2"/>
  <c r="J10" i="2"/>
  <c r="J9" i="2"/>
  <c r="J8" i="2"/>
  <c r="J7" i="2"/>
  <c r="J6" i="2"/>
  <c r="J5" i="2"/>
  <c r="H13" i="2"/>
  <c r="H12" i="2"/>
  <c r="H11" i="2"/>
  <c r="H10" i="2"/>
  <c r="H9" i="2"/>
  <c r="H8" i="2"/>
  <c r="H7" i="2"/>
  <c r="H6" i="2"/>
  <c r="H5" i="2"/>
  <c r="F13" i="2"/>
  <c r="F12" i="2"/>
  <c r="F11" i="2"/>
  <c r="F10" i="2"/>
  <c r="F9" i="2"/>
  <c r="F8" i="2"/>
  <c r="F7" i="2"/>
  <c r="F6" i="2"/>
  <c r="F5" i="2"/>
  <c r="E13" i="2"/>
  <c r="E12" i="2"/>
  <c r="E11" i="2"/>
  <c r="E10" i="2"/>
  <c r="E9" i="2"/>
  <c r="E8" i="2"/>
  <c r="E7" i="2"/>
  <c r="E6" i="2"/>
  <c r="E5" i="2"/>
  <c r="K26" i="2"/>
  <c r="I26" i="2"/>
  <c r="G26" i="2"/>
  <c r="C26" i="2"/>
  <c r="M25" i="2"/>
  <c r="M24" i="2"/>
  <c r="M23" i="2"/>
  <c r="M22" i="2"/>
  <c r="M21" i="2"/>
  <c r="M20" i="2"/>
  <c r="M19" i="2"/>
  <c r="M18" i="2"/>
  <c r="M17" i="2"/>
  <c r="K14" i="2"/>
  <c r="I14" i="2"/>
  <c r="G14" i="2"/>
  <c r="C14" i="2"/>
  <c r="L36" i="4" l="1"/>
  <c r="J36" i="4"/>
  <c r="J14" i="2"/>
  <c r="M11" i="2"/>
  <c r="M9" i="2"/>
  <c r="H14" i="2"/>
  <c r="M10" i="2"/>
  <c r="F14" i="2"/>
  <c r="M12" i="2"/>
  <c r="M13" i="2"/>
  <c r="M5" i="2"/>
  <c r="M6" i="2"/>
  <c r="M7" i="2"/>
  <c r="M8" i="2"/>
  <c r="E14" i="2"/>
  <c r="M26" i="2"/>
  <c r="F26" i="1"/>
  <c r="E26" i="1"/>
  <c r="D26" i="1"/>
  <c r="C26" i="1"/>
  <c r="G25" i="1"/>
  <c r="G24" i="1"/>
  <c r="G23" i="1"/>
  <c r="G22" i="1"/>
  <c r="G21" i="1"/>
  <c r="G20" i="1"/>
  <c r="G19" i="1"/>
  <c r="G18" i="1"/>
  <c r="G17" i="1"/>
  <c r="C14" i="1"/>
  <c r="D14" i="1"/>
  <c r="E14" i="1"/>
  <c r="F14" i="1"/>
  <c r="G14" i="1"/>
  <c r="G13" i="1"/>
  <c r="G12" i="1"/>
  <c r="G11" i="1"/>
  <c r="G10" i="1"/>
  <c r="G9" i="1"/>
  <c r="G8" i="1"/>
  <c r="G7" i="1"/>
  <c r="G6" i="1"/>
  <c r="G5" i="1"/>
  <c r="M14" i="2" l="1"/>
  <c r="G26" i="1"/>
</calcChain>
</file>

<file path=xl/sharedStrings.xml><?xml version="1.0" encoding="utf-8"?>
<sst xmlns="http://schemas.openxmlformats.org/spreadsheetml/2006/main" count="142" uniqueCount="42">
  <si>
    <t>Localidad / Zona</t>
  </si>
  <si>
    <t>Emergencias Médicas</t>
  </si>
  <si>
    <t>Incendios (Pastizal/Casa)</t>
  </si>
  <si>
    <t>Rescate y Riesgos</t>
  </si>
  <si>
    <t>Servicios Sociales</t>
  </si>
  <si>
    <t>Fracc. Puente Moreno / Lagos</t>
  </si>
  <si>
    <t>total</t>
  </si>
  <si>
    <t>tejar</t>
  </si>
  <si>
    <t>paso del toro</t>
  </si>
  <si>
    <t>arboledas</t>
  </si>
  <si>
    <t>robles</t>
  </si>
  <si>
    <t>laguna</t>
  </si>
  <si>
    <t>ixcoalco/pichones</t>
  </si>
  <si>
    <t>playa de vacas</t>
  </si>
  <si>
    <t>otras zonas (san miguel, cedral, etc)</t>
  </si>
  <si>
    <t>FELIPE</t>
  </si>
  <si>
    <t>ANEL</t>
  </si>
  <si>
    <t>Fugas de Gas</t>
  </si>
  <si>
    <t>Arboles</t>
  </si>
  <si>
    <t>Animales</t>
  </si>
  <si>
    <t>Suministro de Agua</t>
  </si>
  <si>
    <t>Cables</t>
  </si>
  <si>
    <t>Seguridad</t>
  </si>
  <si>
    <t>Eventos/Acompañamiento</t>
  </si>
  <si>
    <t>servicios</t>
  </si>
  <si>
    <t>Inspecciones</t>
  </si>
  <si>
    <t>ABEJAS</t>
  </si>
  <si>
    <t>Traslados</t>
  </si>
  <si>
    <t>tanque gas</t>
  </si>
  <si>
    <t>EMERGENCIAS</t>
  </si>
  <si>
    <t>serpiente/culebra</t>
  </si>
  <si>
    <t>ARBOLES</t>
  </si>
  <si>
    <t>tlacuache</t>
  </si>
  <si>
    <t>base</t>
  </si>
  <si>
    <t>CABLES</t>
  </si>
  <si>
    <t>Incendios pastizal</t>
  </si>
  <si>
    <t>incendio casa</t>
  </si>
  <si>
    <t>TRASLADOS</t>
  </si>
  <si>
    <t>uapoyo</t>
  </si>
  <si>
    <t>AGUA</t>
  </si>
  <si>
    <t>rescates en agua</t>
  </si>
  <si>
    <t>INSPECCIONES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</si>
</sst>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2" xfId="1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</cellXfs>
  <cellStyles count="2">
    <cellStyle name="Énfasis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26"/>
  <sheetViews>
    <sheetView view="pageBreakPreview" topLeftCell="B9" zoomScale="160" zoomScaleNormal="145" zoomScaleSheetLayoutView="160" workbookViewId="0">
      <selection activeCell="J15" sqref="J15"/>
    </sheetView>
  </sheetViews>
  <sheetFormatPr baseColWidth="10" defaultRowHeight="15" x14ac:dyDescent="0.25"/>
  <cols>
    <col min="2" max="2" width="33" bestFit="1" customWidth="1"/>
    <col min="3" max="3" width="20" style="1" bestFit="1" customWidth="1"/>
    <col min="4" max="4" width="23.28515625" style="1" bestFit="1" customWidth="1"/>
    <col min="5" max="6" width="16.5703125" style="1" bestFit="1" customWidth="1"/>
    <col min="7" max="7" width="11.42578125" style="1"/>
  </cols>
  <sheetData>
    <row r="3" spans="2:7" x14ac:dyDescent="0.25">
      <c r="B3" t="s">
        <v>15</v>
      </c>
    </row>
    <row r="4" spans="2:7" x14ac:dyDescent="0.25">
      <c r="B4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6</v>
      </c>
    </row>
    <row r="5" spans="2:7" x14ac:dyDescent="0.25">
      <c r="B5" t="s">
        <v>5</v>
      </c>
      <c r="C5" s="1">
        <v>92</v>
      </c>
      <c r="D5" s="1">
        <v>14</v>
      </c>
      <c r="E5" s="1">
        <v>22</v>
      </c>
      <c r="F5" s="1">
        <v>26</v>
      </c>
      <c r="G5" s="1">
        <f>SUM(C5:F5)</f>
        <v>154</v>
      </c>
    </row>
    <row r="6" spans="2:7" x14ac:dyDescent="0.25">
      <c r="B6" t="s">
        <v>7</v>
      </c>
      <c r="C6" s="1">
        <v>41</v>
      </c>
      <c r="D6" s="1">
        <v>8</v>
      </c>
      <c r="E6" s="1">
        <v>12</v>
      </c>
      <c r="F6" s="1">
        <v>11</v>
      </c>
      <c r="G6" s="1">
        <f t="shared" ref="G6:G13" si="0">SUM(C6:F6)</f>
        <v>72</v>
      </c>
    </row>
    <row r="7" spans="2:7" x14ac:dyDescent="0.25">
      <c r="B7" t="s">
        <v>8</v>
      </c>
      <c r="C7" s="1">
        <v>22</v>
      </c>
      <c r="D7" s="1">
        <v>19</v>
      </c>
      <c r="E7" s="1">
        <v>11</v>
      </c>
      <c r="F7" s="1">
        <v>4</v>
      </c>
      <c r="G7" s="1">
        <f t="shared" si="0"/>
        <v>56</v>
      </c>
    </row>
    <row r="8" spans="2:7" x14ac:dyDescent="0.25">
      <c r="B8" t="s">
        <v>9</v>
      </c>
      <c r="C8" s="1">
        <v>28</v>
      </c>
      <c r="D8" s="1">
        <v>6</v>
      </c>
      <c r="E8" s="1">
        <v>9</v>
      </c>
      <c r="F8" s="1">
        <v>8</v>
      </c>
      <c r="G8" s="1">
        <f t="shared" si="0"/>
        <v>51</v>
      </c>
    </row>
    <row r="9" spans="2:7" x14ac:dyDescent="0.25">
      <c r="B9" t="s">
        <v>10</v>
      </c>
      <c r="C9" s="1">
        <v>14</v>
      </c>
      <c r="D9" s="1">
        <v>16</v>
      </c>
      <c r="E9" s="1">
        <v>2</v>
      </c>
      <c r="F9" s="1">
        <v>5</v>
      </c>
      <c r="G9" s="1">
        <f t="shared" si="0"/>
        <v>37</v>
      </c>
    </row>
    <row r="10" spans="2:7" x14ac:dyDescent="0.25">
      <c r="B10" t="s">
        <v>11</v>
      </c>
      <c r="C10" s="1">
        <v>10</v>
      </c>
      <c r="D10" s="1">
        <v>12</v>
      </c>
      <c r="E10" s="1">
        <v>1</v>
      </c>
      <c r="F10" s="1">
        <v>9</v>
      </c>
      <c r="G10" s="1">
        <f t="shared" si="0"/>
        <v>32</v>
      </c>
    </row>
    <row r="11" spans="2:7" x14ac:dyDescent="0.25">
      <c r="B11" t="s">
        <v>12</v>
      </c>
      <c r="C11" s="1">
        <v>12</v>
      </c>
      <c r="D11" s="1">
        <v>15</v>
      </c>
      <c r="E11" s="1">
        <v>2</v>
      </c>
      <c r="F11" s="1">
        <v>0</v>
      </c>
      <c r="G11" s="1">
        <f t="shared" si="0"/>
        <v>29</v>
      </c>
    </row>
    <row r="12" spans="2:7" x14ac:dyDescent="0.25">
      <c r="B12" t="s">
        <v>13</v>
      </c>
      <c r="C12" s="1">
        <v>6</v>
      </c>
      <c r="D12" s="1">
        <v>4</v>
      </c>
      <c r="E12" s="1">
        <v>5</v>
      </c>
      <c r="F12" s="1">
        <v>2</v>
      </c>
      <c r="G12" s="1">
        <f t="shared" si="0"/>
        <v>17</v>
      </c>
    </row>
    <row r="13" spans="2:7" x14ac:dyDescent="0.25">
      <c r="B13" t="s">
        <v>14</v>
      </c>
      <c r="C13" s="1">
        <v>16</v>
      </c>
      <c r="D13" s="1">
        <v>8</v>
      </c>
      <c r="E13" s="1">
        <v>5</v>
      </c>
      <c r="F13" s="1">
        <v>2</v>
      </c>
      <c r="G13" s="1">
        <f t="shared" si="0"/>
        <v>31</v>
      </c>
    </row>
    <row r="14" spans="2:7" x14ac:dyDescent="0.25">
      <c r="C14" s="1">
        <f>SUM(C5:C13)</f>
        <v>241</v>
      </c>
      <c r="D14" s="1">
        <f>SUM(D5:D13)</f>
        <v>102</v>
      </c>
      <c r="E14" s="1">
        <f>SUM(E5:E13)</f>
        <v>69</v>
      </c>
      <c r="F14" s="1">
        <f>SUM(F5:F13)</f>
        <v>67</v>
      </c>
      <c r="G14" s="1">
        <f>SUM(C14:F14)</f>
        <v>479</v>
      </c>
    </row>
    <row r="15" spans="2:7" x14ac:dyDescent="0.25">
      <c r="B15" t="s">
        <v>16</v>
      </c>
    </row>
    <row r="16" spans="2:7" x14ac:dyDescent="0.25">
      <c r="B16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6</v>
      </c>
    </row>
    <row r="17" spans="2:7" x14ac:dyDescent="0.25">
      <c r="B17" t="s">
        <v>5</v>
      </c>
      <c r="C17" s="1">
        <v>17</v>
      </c>
      <c r="D17" s="1">
        <v>2</v>
      </c>
      <c r="E17" s="1">
        <v>10</v>
      </c>
      <c r="G17" s="1">
        <f>SUM(C17:F17)</f>
        <v>29</v>
      </c>
    </row>
    <row r="18" spans="2:7" x14ac:dyDescent="0.25">
      <c r="B18" t="s">
        <v>7</v>
      </c>
      <c r="C18" s="1">
        <v>8</v>
      </c>
      <c r="E18" s="1">
        <v>2</v>
      </c>
      <c r="F18" s="1">
        <v>1</v>
      </c>
      <c r="G18" s="1">
        <f t="shared" ref="G18:G25" si="1">SUM(C18:F18)</f>
        <v>11</v>
      </c>
    </row>
    <row r="19" spans="2:7" x14ac:dyDescent="0.25">
      <c r="B19" t="s">
        <v>8</v>
      </c>
      <c r="C19" s="1">
        <v>6</v>
      </c>
      <c r="D19" s="1">
        <v>2</v>
      </c>
      <c r="G19" s="1">
        <f t="shared" si="1"/>
        <v>8</v>
      </c>
    </row>
    <row r="20" spans="2:7" x14ac:dyDescent="0.25">
      <c r="B20" t="s">
        <v>9</v>
      </c>
      <c r="C20" s="1">
        <v>10</v>
      </c>
      <c r="D20" s="1">
        <v>1</v>
      </c>
      <c r="G20" s="1">
        <f t="shared" si="1"/>
        <v>11</v>
      </c>
    </row>
    <row r="21" spans="2:7" x14ac:dyDescent="0.25">
      <c r="B21" t="s">
        <v>10</v>
      </c>
      <c r="C21" s="1">
        <v>2</v>
      </c>
      <c r="D21" s="1">
        <v>1</v>
      </c>
      <c r="E21" s="1">
        <v>1</v>
      </c>
      <c r="G21" s="1">
        <f t="shared" si="1"/>
        <v>4</v>
      </c>
    </row>
    <row r="22" spans="2:7" x14ac:dyDescent="0.25">
      <c r="B22" t="s">
        <v>11</v>
      </c>
      <c r="C22" s="1">
        <v>1</v>
      </c>
      <c r="G22" s="1">
        <f t="shared" si="1"/>
        <v>1</v>
      </c>
    </row>
    <row r="23" spans="2:7" x14ac:dyDescent="0.25">
      <c r="B23" t="s">
        <v>12</v>
      </c>
      <c r="G23" s="1">
        <f t="shared" si="1"/>
        <v>0</v>
      </c>
    </row>
    <row r="24" spans="2:7" x14ac:dyDescent="0.25">
      <c r="B24" t="s">
        <v>13</v>
      </c>
      <c r="C24" s="1">
        <v>2</v>
      </c>
      <c r="D24" s="1">
        <v>4</v>
      </c>
      <c r="E24" s="1">
        <v>2</v>
      </c>
      <c r="F24" s="1">
        <v>1</v>
      </c>
      <c r="G24" s="1">
        <f t="shared" si="1"/>
        <v>9</v>
      </c>
    </row>
    <row r="25" spans="2:7" x14ac:dyDescent="0.25">
      <c r="B25" t="s">
        <v>14</v>
      </c>
      <c r="C25" s="1">
        <v>12</v>
      </c>
      <c r="D25" s="1">
        <v>5</v>
      </c>
      <c r="E25" s="1">
        <v>4</v>
      </c>
      <c r="F25" s="1">
        <v>3</v>
      </c>
      <c r="G25" s="1">
        <f t="shared" si="1"/>
        <v>24</v>
      </c>
    </row>
    <row r="26" spans="2:7" x14ac:dyDescent="0.25">
      <c r="C26" s="1">
        <f>SUM(C17:C25)</f>
        <v>58</v>
      </c>
      <c r="D26" s="1">
        <f>SUM(D17:D25)</f>
        <v>15</v>
      </c>
      <c r="E26" s="1">
        <f>SUM(E17:E25)</f>
        <v>19</v>
      </c>
      <c r="F26" s="1">
        <f>SUM(F17:F25)</f>
        <v>5</v>
      </c>
      <c r="G26" s="1">
        <f>SUM(C26:F26)</f>
        <v>97</v>
      </c>
    </row>
  </sheetData>
  <pageMargins left="0.7" right="0.7" top="0.75" bottom="0.75" header="0.3" footer="0.3"/>
  <pageSetup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M26"/>
  <sheetViews>
    <sheetView view="pageBreakPreview" zoomScale="145" zoomScaleNormal="145" zoomScaleSheetLayoutView="145" workbookViewId="0">
      <selection activeCell="B14" sqref="B14"/>
    </sheetView>
  </sheetViews>
  <sheetFormatPr baseColWidth="10" defaultRowHeight="15" x14ac:dyDescent="0.25"/>
  <cols>
    <col min="2" max="2" width="23.85546875" customWidth="1"/>
    <col min="3" max="3" width="20" style="1" hidden="1" customWidth="1"/>
    <col min="4" max="5" width="20" style="1" customWidth="1"/>
    <col min="6" max="6" width="21.140625" style="1" customWidth="1"/>
    <col min="7" max="7" width="23.28515625" style="1" hidden="1" customWidth="1"/>
    <col min="8" max="8" width="23.28515625" style="1" customWidth="1"/>
    <col min="9" max="9" width="16.5703125" style="1" hidden="1" customWidth="1"/>
    <col min="10" max="10" width="16.5703125" style="1" customWidth="1"/>
    <col min="11" max="12" width="16.5703125" style="1" hidden="1" customWidth="1"/>
    <col min="13" max="13" width="11.42578125" style="1"/>
  </cols>
  <sheetData>
    <row r="3" spans="2:13" ht="15.75" thickBot="1" x14ac:dyDescent="0.3"/>
    <row r="4" spans="2:13" x14ac:dyDescent="0.25">
      <c r="B4" s="4" t="s">
        <v>0</v>
      </c>
      <c r="C4" s="15" t="s">
        <v>1</v>
      </c>
      <c r="D4" s="15"/>
      <c r="E4" s="15"/>
      <c r="F4" s="15" t="s">
        <v>2</v>
      </c>
      <c r="G4" s="15"/>
      <c r="H4" s="15" t="s">
        <v>3</v>
      </c>
      <c r="I4" s="15"/>
      <c r="J4" s="15" t="s">
        <v>4</v>
      </c>
      <c r="K4" s="15"/>
      <c r="L4" s="15" t="s">
        <v>6</v>
      </c>
      <c r="M4" s="16"/>
    </row>
    <row r="5" spans="2:13" ht="30" x14ac:dyDescent="0.25">
      <c r="B5" s="5" t="s">
        <v>5</v>
      </c>
      <c r="C5" s="2">
        <v>92</v>
      </c>
      <c r="D5" s="2"/>
      <c r="E5" s="7">
        <f>C5+C17</f>
        <v>109</v>
      </c>
      <c r="F5" s="7">
        <f>G5+G17</f>
        <v>16</v>
      </c>
      <c r="G5" s="7">
        <v>14</v>
      </c>
      <c r="H5" s="7">
        <f>I5+I17</f>
        <v>32</v>
      </c>
      <c r="I5" s="7">
        <v>22</v>
      </c>
      <c r="J5" s="7">
        <f>K5+K17</f>
        <v>26</v>
      </c>
      <c r="K5" s="7">
        <v>26</v>
      </c>
      <c r="L5" s="7"/>
      <c r="M5" s="8">
        <f>SUM(E5+F5+H5+J5)</f>
        <v>183</v>
      </c>
    </row>
    <row r="6" spans="2:13" x14ac:dyDescent="0.25">
      <c r="B6" s="5" t="s">
        <v>7</v>
      </c>
      <c r="C6" s="2">
        <v>41</v>
      </c>
      <c r="D6" s="2"/>
      <c r="E6" s="7">
        <f t="shared" ref="E6:E13" si="0">C6+C18</f>
        <v>49</v>
      </c>
      <c r="F6" s="7">
        <f t="shared" ref="F6:F13" si="1">G6+G18</f>
        <v>8</v>
      </c>
      <c r="G6" s="7">
        <v>8</v>
      </c>
      <c r="H6" s="7">
        <f t="shared" ref="H6:H13" si="2">I6+I18</f>
        <v>14</v>
      </c>
      <c r="I6" s="7">
        <v>12</v>
      </c>
      <c r="J6" s="7">
        <f t="shared" ref="J6:J13" si="3">K6+K18</f>
        <v>12</v>
      </c>
      <c r="K6" s="7">
        <v>11</v>
      </c>
      <c r="L6" s="7"/>
      <c r="M6" s="8">
        <f t="shared" ref="M6:M13" si="4">SUM(E6+F6+H6+J6)</f>
        <v>83</v>
      </c>
    </row>
    <row r="7" spans="2:13" x14ac:dyDescent="0.25">
      <c r="B7" s="5" t="s">
        <v>8</v>
      </c>
      <c r="C7" s="2">
        <v>22</v>
      </c>
      <c r="D7" s="2"/>
      <c r="E7" s="7">
        <f t="shared" si="0"/>
        <v>28</v>
      </c>
      <c r="F7" s="7">
        <f t="shared" si="1"/>
        <v>21</v>
      </c>
      <c r="G7" s="7">
        <v>19</v>
      </c>
      <c r="H7" s="7">
        <f t="shared" si="2"/>
        <v>11</v>
      </c>
      <c r="I7" s="7">
        <v>11</v>
      </c>
      <c r="J7" s="7">
        <f t="shared" si="3"/>
        <v>4</v>
      </c>
      <c r="K7" s="7">
        <v>4</v>
      </c>
      <c r="L7" s="7"/>
      <c r="M7" s="8">
        <f t="shared" si="4"/>
        <v>64</v>
      </c>
    </row>
    <row r="8" spans="2:13" x14ac:dyDescent="0.25">
      <c r="B8" s="5" t="s">
        <v>9</v>
      </c>
      <c r="C8" s="2">
        <v>28</v>
      </c>
      <c r="D8" s="2"/>
      <c r="E8" s="7">
        <f t="shared" si="0"/>
        <v>38</v>
      </c>
      <c r="F8" s="7">
        <f t="shared" si="1"/>
        <v>7</v>
      </c>
      <c r="G8" s="7">
        <v>6</v>
      </c>
      <c r="H8" s="7">
        <f t="shared" si="2"/>
        <v>9</v>
      </c>
      <c r="I8" s="7">
        <v>9</v>
      </c>
      <c r="J8" s="7">
        <f t="shared" si="3"/>
        <v>8</v>
      </c>
      <c r="K8" s="7">
        <v>8</v>
      </c>
      <c r="L8" s="7"/>
      <c r="M8" s="8">
        <f t="shared" si="4"/>
        <v>62</v>
      </c>
    </row>
    <row r="9" spans="2:13" x14ac:dyDescent="0.25">
      <c r="B9" s="5" t="s">
        <v>10</v>
      </c>
      <c r="C9" s="2">
        <v>14</v>
      </c>
      <c r="D9" s="2"/>
      <c r="E9" s="7">
        <f t="shared" si="0"/>
        <v>16</v>
      </c>
      <c r="F9" s="7">
        <f t="shared" si="1"/>
        <v>17</v>
      </c>
      <c r="G9" s="7">
        <v>16</v>
      </c>
      <c r="H9" s="7">
        <f t="shared" si="2"/>
        <v>3</v>
      </c>
      <c r="I9" s="7">
        <v>2</v>
      </c>
      <c r="J9" s="7">
        <f t="shared" si="3"/>
        <v>5</v>
      </c>
      <c r="K9" s="7">
        <v>5</v>
      </c>
      <c r="L9" s="7"/>
      <c r="M9" s="8">
        <f t="shared" si="4"/>
        <v>41</v>
      </c>
    </row>
    <row r="10" spans="2:13" x14ac:dyDescent="0.25">
      <c r="B10" s="5" t="s">
        <v>11</v>
      </c>
      <c r="C10" s="2">
        <v>10</v>
      </c>
      <c r="D10" s="2"/>
      <c r="E10" s="7">
        <f t="shared" si="0"/>
        <v>11</v>
      </c>
      <c r="F10" s="7">
        <f t="shared" si="1"/>
        <v>12</v>
      </c>
      <c r="G10" s="7">
        <v>12</v>
      </c>
      <c r="H10" s="7">
        <f t="shared" si="2"/>
        <v>1</v>
      </c>
      <c r="I10" s="7">
        <v>1</v>
      </c>
      <c r="J10" s="7">
        <f t="shared" si="3"/>
        <v>9</v>
      </c>
      <c r="K10" s="7">
        <v>9</v>
      </c>
      <c r="L10" s="7"/>
      <c r="M10" s="8">
        <f t="shared" si="4"/>
        <v>33</v>
      </c>
    </row>
    <row r="11" spans="2:13" x14ac:dyDescent="0.25">
      <c r="B11" s="5" t="s">
        <v>12</v>
      </c>
      <c r="C11" s="2">
        <v>12</v>
      </c>
      <c r="D11" s="2"/>
      <c r="E11" s="7">
        <f t="shared" si="0"/>
        <v>12</v>
      </c>
      <c r="F11" s="7">
        <f t="shared" si="1"/>
        <v>15</v>
      </c>
      <c r="G11" s="7">
        <v>15</v>
      </c>
      <c r="H11" s="7">
        <f t="shared" si="2"/>
        <v>2</v>
      </c>
      <c r="I11" s="7">
        <v>2</v>
      </c>
      <c r="J11" s="7">
        <f t="shared" si="3"/>
        <v>0</v>
      </c>
      <c r="K11" s="7">
        <v>0</v>
      </c>
      <c r="L11" s="7"/>
      <c r="M11" s="8">
        <f t="shared" si="4"/>
        <v>29</v>
      </c>
    </row>
    <row r="12" spans="2:13" x14ac:dyDescent="0.25">
      <c r="B12" s="5" t="s">
        <v>13</v>
      </c>
      <c r="C12" s="2">
        <v>6</v>
      </c>
      <c r="D12" s="2"/>
      <c r="E12" s="7">
        <f t="shared" si="0"/>
        <v>8</v>
      </c>
      <c r="F12" s="7">
        <f t="shared" si="1"/>
        <v>8</v>
      </c>
      <c r="G12" s="7">
        <v>4</v>
      </c>
      <c r="H12" s="7">
        <f t="shared" si="2"/>
        <v>7</v>
      </c>
      <c r="I12" s="7">
        <v>5</v>
      </c>
      <c r="J12" s="7">
        <f t="shared" si="3"/>
        <v>3</v>
      </c>
      <c r="K12" s="7">
        <v>2</v>
      </c>
      <c r="L12" s="7"/>
      <c r="M12" s="8">
        <f t="shared" si="4"/>
        <v>26</v>
      </c>
    </row>
    <row r="13" spans="2:13" ht="30" x14ac:dyDescent="0.25">
      <c r="B13" s="5" t="s">
        <v>14</v>
      </c>
      <c r="C13" s="2">
        <v>16</v>
      </c>
      <c r="D13" s="2"/>
      <c r="E13" s="7">
        <f t="shared" si="0"/>
        <v>28</v>
      </c>
      <c r="F13" s="7">
        <f t="shared" si="1"/>
        <v>13</v>
      </c>
      <c r="G13" s="7">
        <v>8</v>
      </c>
      <c r="H13" s="7">
        <f t="shared" si="2"/>
        <v>9</v>
      </c>
      <c r="I13" s="7">
        <v>5</v>
      </c>
      <c r="J13" s="7">
        <f t="shared" si="3"/>
        <v>5</v>
      </c>
      <c r="K13" s="7">
        <v>2</v>
      </c>
      <c r="L13" s="7"/>
      <c r="M13" s="8">
        <f t="shared" si="4"/>
        <v>55</v>
      </c>
    </row>
    <row r="14" spans="2:13" ht="33.75" customHeight="1" thickBot="1" x14ac:dyDescent="0.3">
      <c r="B14" s="6"/>
      <c r="C14" s="3">
        <f t="shared" ref="C14:K14" si="5">SUM(C5:C13)</f>
        <v>241</v>
      </c>
      <c r="D14" s="3"/>
      <c r="E14" s="9">
        <f t="shared" si="5"/>
        <v>299</v>
      </c>
      <c r="F14" s="9">
        <f t="shared" si="5"/>
        <v>117</v>
      </c>
      <c r="G14" s="9">
        <f t="shared" si="5"/>
        <v>102</v>
      </c>
      <c r="H14" s="9">
        <f t="shared" si="5"/>
        <v>88</v>
      </c>
      <c r="I14" s="9">
        <f t="shared" si="5"/>
        <v>69</v>
      </c>
      <c r="J14" s="9">
        <f t="shared" si="5"/>
        <v>72</v>
      </c>
      <c r="K14" s="9">
        <f t="shared" si="5"/>
        <v>67</v>
      </c>
      <c r="L14" s="9"/>
      <c r="M14" s="10">
        <f>SUM(M5:M13)</f>
        <v>576</v>
      </c>
    </row>
    <row r="15" spans="2:13" hidden="1" x14ac:dyDescent="0.25">
      <c r="B15" t="s">
        <v>16</v>
      </c>
    </row>
    <row r="16" spans="2:13" hidden="1" x14ac:dyDescent="0.25">
      <c r="B16" t="s">
        <v>0</v>
      </c>
      <c r="C16" s="1" t="s">
        <v>1</v>
      </c>
      <c r="G16" s="1" t="s">
        <v>2</v>
      </c>
      <c r="I16" s="1" t="s">
        <v>3</v>
      </c>
      <c r="K16" s="1" t="s">
        <v>4</v>
      </c>
      <c r="M16" s="1" t="s">
        <v>6</v>
      </c>
    </row>
    <row r="17" spans="2:13" hidden="1" x14ac:dyDescent="0.25">
      <c r="B17" t="s">
        <v>5</v>
      </c>
      <c r="C17" s="1">
        <v>17</v>
      </c>
      <c r="G17" s="1">
        <v>2</v>
      </c>
      <c r="I17" s="1">
        <v>10</v>
      </c>
      <c r="M17" s="1">
        <f>SUM(C17:K17)</f>
        <v>29</v>
      </c>
    </row>
    <row r="18" spans="2:13" hidden="1" x14ac:dyDescent="0.25">
      <c r="B18" t="s">
        <v>7</v>
      </c>
      <c r="C18" s="1">
        <v>8</v>
      </c>
      <c r="I18" s="1">
        <v>2</v>
      </c>
      <c r="K18" s="1">
        <v>1</v>
      </c>
      <c r="M18" s="1">
        <f t="shared" ref="M18:M25" si="6">SUM(C18:K18)</f>
        <v>11</v>
      </c>
    </row>
    <row r="19" spans="2:13" hidden="1" x14ac:dyDescent="0.25">
      <c r="B19" t="s">
        <v>8</v>
      </c>
      <c r="C19" s="1">
        <v>6</v>
      </c>
      <c r="G19" s="1">
        <v>2</v>
      </c>
      <c r="M19" s="1">
        <f t="shared" si="6"/>
        <v>8</v>
      </c>
    </row>
    <row r="20" spans="2:13" hidden="1" x14ac:dyDescent="0.25">
      <c r="B20" t="s">
        <v>9</v>
      </c>
      <c r="C20" s="1">
        <v>10</v>
      </c>
      <c r="G20" s="1">
        <v>1</v>
      </c>
      <c r="M20" s="1">
        <f t="shared" si="6"/>
        <v>11</v>
      </c>
    </row>
    <row r="21" spans="2:13" hidden="1" x14ac:dyDescent="0.25">
      <c r="B21" t="s">
        <v>10</v>
      </c>
      <c r="C21" s="1">
        <v>2</v>
      </c>
      <c r="G21" s="1">
        <v>1</v>
      </c>
      <c r="I21" s="1">
        <v>1</v>
      </c>
      <c r="M21" s="1">
        <f t="shared" si="6"/>
        <v>4</v>
      </c>
    </row>
    <row r="22" spans="2:13" hidden="1" x14ac:dyDescent="0.25">
      <c r="B22" t="s">
        <v>11</v>
      </c>
      <c r="C22" s="1">
        <v>1</v>
      </c>
      <c r="M22" s="1">
        <f t="shared" si="6"/>
        <v>1</v>
      </c>
    </row>
    <row r="23" spans="2:13" hidden="1" x14ac:dyDescent="0.25">
      <c r="B23" t="s">
        <v>12</v>
      </c>
      <c r="M23" s="1">
        <f t="shared" si="6"/>
        <v>0</v>
      </c>
    </row>
    <row r="24" spans="2:13" hidden="1" x14ac:dyDescent="0.25">
      <c r="B24" t="s">
        <v>13</v>
      </c>
      <c r="C24" s="1">
        <v>2</v>
      </c>
      <c r="G24" s="1">
        <v>4</v>
      </c>
      <c r="I24" s="1">
        <v>2</v>
      </c>
      <c r="K24" s="1">
        <v>1</v>
      </c>
      <c r="M24" s="1">
        <f t="shared" si="6"/>
        <v>9</v>
      </c>
    </row>
    <row r="25" spans="2:13" hidden="1" x14ac:dyDescent="0.25">
      <c r="B25" t="s">
        <v>14</v>
      </c>
      <c r="C25" s="1">
        <v>12</v>
      </c>
      <c r="G25" s="1">
        <v>5</v>
      </c>
      <c r="I25" s="1">
        <v>4</v>
      </c>
      <c r="K25" s="1">
        <v>3</v>
      </c>
      <c r="M25" s="1">
        <f t="shared" si="6"/>
        <v>24</v>
      </c>
    </row>
    <row r="26" spans="2:13" ht="114.75" customHeight="1" x14ac:dyDescent="0.25">
      <c r="C26" s="1">
        <f>SUM(C17:C25)</f>
        <v>58</v>
      </c>
      <c r="G26" s="1">
        <f>SUM(G17:G25)</f>
        <v>15</v>
      </c>
      <c r="I26" s="1">
        <f>SUM(I17:I25)</f>
        <v>19</v>
      </c>
      <c r="K26" s="1">
        <f>SUM(K17:K25)</f>
        <v>5</v>
      </c>
      <c r="M26" s="1">
        <f>SUM(C26:K26)</f>
        <v>97</v>
      </c>
    </row>
  </sheetData>
  <mergeCells count="5">
    <mergeCell ref="C4:E4"/>
    <mergeCell ref="F4:G4"/>
    <mergeCell ref="H4:I4"/>
    <mergeCell ref="J4:K4"/>
    <mergeCell ref="L4:M4"/>
  </mergeCells>
  <pageMargins left="0.7" right="0.7" top="0.75" bottom="0.75" header="0.3" footer="0.3"/>
  <pageSetup scale="9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9D86-4661-4AE5-8F7B-37516DECAE1C}">
  <dimension ref="B3:G35"/>
  <sheetViews>
    <sheetView view="pageBreakPreview" topLeftCell="B1" zoomScale="160" zoomScaleNormal="145" zoomScaleSheetLayoutView="160" workbookViewId="0">
      <selection activeCell="E32" sqref="E32"/>
    </sheetView>
  </sheetViews>
  <sheetFormatPr baseColWidth="10" defaultRowHeight="15" x14ac:dyDescent="0.25"/>
  <cols>
    <col min="2" max="2" width="22.28515625" customWidth="1"/>
    <col min="3" max="3" width="23.42578125" style="1" customWidth="1"/>
    <col min="4" max="4" width="23.28515625" style="1" bestFit="1" customWidth="1"/>
    <col min="5" max="6" width="16.5703125" style="1" bestFit="1" customWidth="1"/>
    <col min="7" max="7" width="11.42578125" style="1"/>
  </cols>
  <sheetData>
    <row r="3" spans="2:7" x14ac:dyDescent="0.25">
      <c r="B3" t="s">
        <v>15</v>
      </c>
    </row>
    <row r="4" spans="2:7" x14ac:dyDescent="0.25">
      <c r="B4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6</v>
      </c>
    </row>
    <row r="5" spans="2:7" x14ac:dyDescent="0.25">
      <c r="B5" t="s">
        <v>5</v>
      </c>
      <c r="C5" s="1">
        <v>92</v>
      </c>
      <c r="D5" s="1">
        <v>14</v>
      </c>
      <c r="E5" s="1">
        <v>22</v>
      </c>
      <c r="F5" s="1">
        <v>26</v>
      </c>
      <c r="G5" s="1">
        <f>SUM(C5:F5)</f>
        <v>154</v>
      </c>
    </row>
    <row r="6" spans="2:7" x14ac:dyDescent="0.25">
      <c r="B6" t="s">
        <v>7</v>
      </c>
      <c r="C6" s="1">
        <v>41</v>
      </c>
      <c r="D6" s="1">
        <v>8</v>
      </c>
      <c r="E6" s="1">
        <v>12</v>
      </c>
      <c r="F6" s="1">
        <v>11</v>
      </c>
      <c r="G6" s="1">
        <f t="shared" ref="G6:G13" si="0">SUM(C6:F6)</f>
        <v>72</v>
      </c>
    </row>
    <row r="7" spans="2:7" x14ac:dyDescent="0.25">
      <c r="B7" t="s">
        <v>8</v>
      </c>
      <c r="C7" s="1">
        <v>22</v>
      </c>
      <c r="D7" s="1">
        <v>19</v>
      </c>
      <c r="E7" s="1">
        <v>11</v>
      </c>
      <c r="F7" s="1">
        <v>4</v>
      </c>
      <c r="G7" s="1">
        <f t="shared" si="0"/>
        <v>56</v>
      </c>
    </row>
    <row r="8" spans="2:7" x14ac:dyDescent="0.25">
      <c r="B8" t="s">
        <v>9</v>
      </c>
      <c r="C8" s="1">
        <v>28</v>
      </c>
      <c r="D8" s="1">
        <v>6</v>
      </c>
      <c r="E8" s="1">
        <v>9</v>
      </c>
      <c r="F8" s="1">
        <v>8</v>
      </c>
      <c r="G8" s="1">
        <f t="shared" si="0"/>
        <v>51</v>
      </c>
    </row>
    <row r="9" spans="2:7" x14ac:dyDescent="0.25">
      <c r="B9" t="s">
        <v>10</v>
      </c>
      <c r="C9" s="1">
        <v>14</v>
      </c>
      <c r="D9" s="1">
        <v>16</v>
      </c>
      <c r="E9" s="1">
        <v>2</v>
      </c>
      <c r="F9" s="1">
        <v>5</v>
      </c>
      <c r="G9" s="1">
        <f t="shared" si="0"/>
        <v>37</v>
      </c>
    </row>
    <row r="10" spans="2:7" x14ac:dyDescent="0.25">
      <c r="B10" t="s">
        <v>11</v>
      </c>
      <c r="C10" s="1">
        <v>10</v>
      </c>
      <c r="D10" s="1">
        <v>12</v>
      </c>
      <c r="E10" s="1">
        <v>1</v>
      </c>
      <c r="F10" s="1">
        <v>9</v>
      </c>
      <c r="G10" s="1">
        <f t="shared" si="0"/>
        <v>32</v>
      </c>
    </row>
    <row r="11" spans="2:7" x14ac:dyDescent="0.25">
      <c r="B11" t="s">
        <v>12</v>
      </c>
      <c r="C11" s="1">
        <v>12</v>
      </c>
      <c r="D11" s="1">
        <v>15</v>
      </c>
      <c r="E11" s="1">
        <v>2</v>
      </c>
      <c r="F11" s="1">
        <v>0</v>
      </c>
      <c r="G11" s="1">
        <f t="shared" si="0"/>
        <v>29</v>
      </c>
    </row>
    <row r="12" spans="2:7" x14ac:dyDescent="0.25">
      <c r="B12" t="s">
        <v>13</v>
      </c>
      <c r="C12" s="1">
        <v>6</v>
      </c>
      <c r="D12" s="1">
        <v>4</v>
      </c>
      <c r="E12" s="1">
        <v>5</v>
      </c>
      <c r="F12" s="1">
        <v>2</v>
      </c>
      <c r="G12" s="1">
        <f t="shared" si="0"/>
        <v>17</v>
      </c>
    </row>
    <row r="13" spans="2:7" x14ac:dyDescent="0.25">
      <c r="B13" t="s">
        <v>14</v>
      </c>
      <c r="C13" s="1">
        <v>16</v>
      </c>
      <c r="D13" s="1">
        <v>8</v>
      </c>
      <c r="E13" s="1">
        <v>5</v>
      </c>
      <c r="F13" s="1">
        <v>2</v>
      </c>
      <c r="G13" s="1">
        <f t="shared" si="0"/>
        <v>31</v>
      </c>
    </row>
    <row r="14" spans="2:7" x14ac:dyDescent="0.25">
      <c r="C14" s="1">
        <f>SUM(C5:C13)</f>
        <v>241</v>
      </c>
      <c r="D14" s="1">
        <f>SUM(D5:D13)</f>
        <v>102</v>
      </c>
      <c r="E14" s="1">
        <f>SUM(E5:E13)</f>
        <v>69</v>
      </c>
      <c r="F14" s="1">
        <f>SUM(F5:F13)</f>
        <v>67</v>
      </c>
      <c r="G14" s="1">
        <f>SUM(C14:F14)</f>
        <v>479</v>
      </c>
    </row>
    <row r="15" spans="2:7" x14ac:dyDescent="0.25">
      <c r="B15" t="s">
        <v>16</v>
      </c>
    </row>
    <row r="16" spans="2:7" x14ac:dyDescent="0.25">
      <c r="B16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6</v>
      </c>
    </row>
    <row r="17" spans="2:7" x14ac:dyDescent="0.25">
      <c r="B17" t="s">
        <v>5</v>
      </c>
      <c r="C17" s="1">
        <v>17</v>
      </c>
      <c r="D17" s="1">
        <v>2</v>
      </c>
      <c r="E17" s="1">
        <v>10</v>
      </c>
      <c r="G17" s="1">
        <f>SUM(C17:F17)</f>
        <v>29</v>
      </c>
    </row>
    <row r="18" spans="2:7" x14ac:dyDescent="0.25">
      <c r="B18" t="s">
        <v>7</v>
      </c>
      <c r="C18" s="1">
        <v>8</v>
      </c>
      <c r="E18" s="1">
        <v>2</v>
      </c>
      <c r="F18" s="1">
        <v>1</v>
      </c>
      <c r="G18" s="1">
        <f t="shared" ref="G18:G25" si="1">SUM(C18:F18)</f>
        <v>11</v>
      </c>
    </row>
    <row r="19" spans="2:7" x14ac:dyDescent="0.25">
      <c r="B19" t="s">
        <v>8</v>
      </c>
      <c r="C19" s="1">
        <v>6</v>
      </c>
      <c r="D19" s="1">
        <v>2</v>
      </c>
      <c r="G19" s="1">
        <f t="shared" si="1"/>
        <v>8</v>
      </c>
    </row>
    <row r="20" spans="2:7" x14ac:dyDescent="0.25">
      <c r="B20" t="s">
        <v>9</v>
      </c>
      <c r="C20" s="1">
        <v>10</v>
      </c>
      <c r="D20" s="1">
        <v>1</v>
      </c>
      <c r="G20" s="1">
        <f t="shared" si="1"/>
        <v>11</v>
      </c>
    </row>
    <row r="21" spans="2:7" x14ac:dyDescent="0.25">
      <c r="B21" t="s">
        <v>10</v>
      </c>
      <c r="C21" s="1">
        <v>2</v>
      </c>
      <c r="D21" s="1">
        <v>1</v>
      </c>
      <c r="E21" s="1">
        <v>1</v>
      </c>
      <c r="G21" s="1">
        <f t="shared" si="1"/>
        <v>4</v>
      </c>
    </row>
    <row r="22" spans="2:7" x14ac:dyDescent="0.25">
      <c r="B22" t="s">
        <v>11</v>
      </c>
      <c r="C22" s="1">
        <v>1</v>
      </c>
      <c r="G22" s="1">
        <f t="shared" si="1"/>
        <v>1</v>
      </c>
    </row>
    <row r="23" spans="2:7" x14ac:dyDescent="0.25">
      <c r="B23" t="s">
        <v>12</v>
      </c>
      <c r="G23" s="1">
        <f t="shared" si="1"/>
        <v>0</v>
      </c>
    </row>
    <row r="24" spans="2:7" x14ac:dyDescent="0.25">
      <c r="B24" t="s">
        <v>13</v>
      </c>
      <c r="C24" s="1">
        <v>2</v>
      </c>
      <c r="D24" s="1">
        <v>4</v>
      </c>
      <c r="E24" s="1">
        <v>2</v>
      </c>
      <c r="F24" s="1">
        <v>1</v>
      </c>
      <c r="G24" s="1">
        <f t="shared" si="1"/>
        <v>9</v>
      </c>
    </row>
    <row r="25" spans="2:7" x14ac:dyDescent="0.25">
      <c r="B25" t="s">
        <v>14</v>
      </c>
      <c r="C25" s="1">
        <v>12</v>
      </c>
      <c r="D25" s="1">
        <v>5</v>
      </c>
      <c r="E25" s="1">
        <v>4</v>
      </c>
      <c r="F25" s="1">
        <v>3</v>
      </c>
      <c r="G25" s="1">
        <f t="shared" si="1"/>
        <v>24</v>
      </c>
    </row>
    <row r="26" spans="2:7" x14ac:dyDescent="0.25">
      <c r="C26" s="1">
        <f>SUM(C17:C25)</f>
        <v>58</v>
      </c>
      <c r="D26" s="1">
        <f>SUM(D17:D25)</f>
        <v>15</v>
      </c>
      <c r="E26" s="1">
        <f>SUM(E17:E25)</f>
        <v>19</v>
      </c>
      <c r="F26" s="1">
        <f>SUM(F17:F25)</f>
        <v>5</v>
      </c>
      <c r="G26" s="1">
        <f>SUM(C26:F26)</f>
        <v>97</v>
      </c>
    </row>
    <row r="28" spans="2:7" ht="30" x14ac:dyDescent="0.25">
      <c r="B28" s="11" t="s">
        <v>1</v>
      </c>
      <c r="C28" s="11" t="s">
        <v>2</v>
      </c>
      <c r="D28" s="11" t="s">
        <v>17</v>
      </c>
      <c r="E28" s="11" t="s">
        <v>18</v>
      </c>
      <c r="F28" s="11" t="s">
        <v>19</v>
      </c>
      <c r="G28" s="12" t="s">
        <v>20</v>
      </c>
    </row>
    <row r="29" spans="2:7" x14ac:dyDescent="0.25">
      <c r="B29" s="2">
        <f>36+30+33+31+21+26+26+26+24+24+23+30+13+9+10+10+8+9+9+2+1+6+3+5+3+4+2+4+1+4+1+1+1+1+2</f>
        <v>439</v>
      </c>
      <c r="C29" s="2">
        <f>8+8+3+7+1+9+4+6+18+15+5+1+7+1+4+1</f>
        <v>98</v>
      </c>
      <c r="D29" s="2">
        <f>1+3+1+2+2+1+2+2+3+1+1+1</f>
        <v>20</v>
      </c>
      <c r="E29" s="2">
        <f>3+1+1+1+2+3+1+1+1+1+1</f>
        <v>16</v>
      </c>
      <c r="F29" s="2">
        <f>1+2+1+1+8+1+3+4+3+1+2+1+1+2+3</f>
        <v>34</v>
      </c>
      <c r="G29" s="2">
        <f>1+2+1+2+1+4+5+4+1+3+3+2+1</f>
        <v>30</v>
      </c>
    </row>
    <row r="31" spans="2:7" x14ac:dyDescent="0.25">
      <c r="B31" s="11" t="s">
        <v>21</v>
      </c>
      <c r="C31" s="11" t="s">
        <v>22</v>
      </c>
      <c r="D31" s="11" t="s">
        <v>23</v>
      </c>
      <c r="E31" s="11" t="s">
        <v>24</v>
      </c>
      <c r="F31" s="11" t="s">
        <v>25</v>
      </c>
    </row>
    <row r="32" spans="2:7" x14ac:dyDescent="0.25">
      <c r="B32" s="2">
        <f>2+1+1+1+2+1+1+1+1+1</f>
        <v>12</v>
      </c>
      <c r="C32" s="2">
        <f>7+3+2+1</f>
        <v>13</v>
      </c>
      <c r="D32" s="2">
        <f>1+1+1+1+2+1+1+1</f>
        <v>9</v>
      </c>
      <c r="E32" s="2">
        <v>5</v>
      </c>
      <c r="F32" s="2">
        <v>1</v>
      </c>
    </row>
    <row r="34" spans="2:5" x14ac:dyDescent="0.25">
      <c r="B34" s="13" t="s">
        <v>1</v>
      </c>
      <c r="C34" s="13" t="s">
        <v>2</v>
      </c>
      <c r="D34" s="13" t="s">
        <v>3</v>
      </c>
      <c r="E34" s="13" t="s">
        <v>4</v>
      </c>
    </row>
    <row r="35" spans="2:5" x14ac:dyDescent="0.25">
      <c r="B35" s="2">
        <f>36+30+33+31+21+26+26+26+24+24+23+30+13+9+10+10+8+9+9+2+1+6+3+5+3+4+2+4+1+4+1+1+1+1+2</f>
        <v>439</v>
      </c>
      <c r="C35" s="2">
        <f>8+8+3+7+1+9+4+6+18+15+5+1+7+1+4+1</f>
        <v>98</v>
      </c>
      <c r="D35" s="2">
        <f>D29+E29+F29+B32+C32</f>
        <v>95</v>
      </c>
      <c r="E35" s="2">
        <f>G29+D32+E32+F32</f>
        <v>45</v>
      </c>
    </row>
  </sheetData>
  <pageMargins left="0.7" right="0.7" top="0.75" bottom="0.75" header="0.3" footer="0.3"/>
  <pageSetup scale="9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79D5-80C6-423D-9016-87F987235786}">
  <dimension ref="A4:AO36"/>
  <sheetViews>
    <sheetView tabSelected="1" topLeftCell="A4" zoomScale="145" zoomScaleNormal="145" zoomScaleSheetLayoutView="160" workbookViewId="0">
      <pane ySplit="1" topLeftCell="A5" activePane="bottomLeft" state="frozen"/>
      <selection activeCell="A4" sqref="A4"/>
      <selection pane="bottomLeft" activeCell="A10" sqref="A10"/>
    </sheetView>
  </sheetViews>
  <sheetFormatPr baseColWidth="10" defaultRowHeight="15" x14ac:dyDescent="0.25"/>
  <cols>
    <col min="1" max="1" width="11.140625" bestFit="1" customWidth="1"/>
    <col min="2" max="2" width="4.7109375" bestFit="1" customWidth="1"/>
    <col min="3" max="3" width="4.7109375" customWidth="1"/>
    <col min="4" max="4" width="10.7109375" bestFit="1" customWidth="1"/>
    <col min="5" max="5" width="6.42578125" style="1" customWidth="1"/>
    <col min="6" max="6" width="11.28515625" style="1" bestFit="1" customWidth="1"/>
    <col min="7" max="7" width="6.7109375" style="1" bestFit="1" customWidth="1"/>
    <col min="8" max="8" width="23.28515625" style="1" bestFit="1" customWidth="1"/>
    <col min="9" max="9" width="7.5703125" style="1" bestFit="1" customWidth="1"/>
    <col min="10" max="10" width="24.85546875" style="1" bestFit="1" customWidth="1"/>
    <col min="11" max="11" width="10.28515625" style="1" bestFit="1" customWidth="1"/>
    <col min="12" max="12" width="16.5703125" style="1" bestFit="1" customWidth="1"/>
    <col min="13" max="13" width="12.42578125" style="1" bestFit="1" customWidth="1"/>
    <col min="14" max="14" width="5.85546875" style="1" bestFit="1" customWidth="1"/>
    <col min="15" max="15" width="2" style="1" bestFit="1" customWidth="1"/>
    <col min="16" max="19" width="2" bestFit="1" customWidth="1"/>
    <col min="20" max="20" width="2" style="1" bestFit="1" customWidth="1"/>
    <col min="21" max="24" width="2" bestFit="1" customWidth="1"/>
    <col min="25" max="25" width="2" style="1" bestFit="1" customWidth="1"/>
    <col min="26" max="26" width="2" bestFit="1" customWidth="1"/>
    <col min="27" max="28" width="2" style="1" bestFit="1" customWidth="1"/>
    <col min="29" max="32" width="2" bestFit="1" customWidth="1"/>
    <col min="33" max="33" width="2" style="1" bestFit="1" customWidth="1"/>
    <col min="34" max="37" width="2" bestFit="1" customWidth="1"/>
    <col min="38" max="38" width="2" style="1" bestFit="1" customWidth="1"/>
    <col min="39" max="39" width="2" bestFit="1" customWidth="1"/>
    <col min="40" max="41" width="2" style="1" bestFit="1" customWidth="1"/>
  </cols>
  <sheetData>
    <row r="4" spans="1:14" s="19" customFormat="1" ht="33.75" x14ac:dyDescent="0.2">
      <c r="A4" s="18" t="s">
        <v>30</v>
      </c>
      <c r="B4" s="18" t="s">
        <v>39</v>
      </c>
      <c r="C4" s="18" t="s">
        <v>41</v>
      </c>
      <c r="D4" s="18" t="s">
        <v>40</v>
      </c>
      <c r="E4" s="18" t="s">
        <v>26</v>
      </c>
      <c r="F4" s="18" t="s">
        <v>32</v>
      </c>
      <c r="G4" s="18" t="s">
        <v>31</v>
      </c>
      <c r="H4" s="18" t="s">
        <v>1</v>
      </c>
      <c r="I4" s="18" t="s">
        <v>27</v>
      </c>
      <c r="J4" s="18" t="s">
        <v>35</v>
      </c>
      <c r="K4" s="18" t="s">
        <v>36</v>
      </c>
      <c r="L4" s="18" t="s">
        <v>34</v>
      </c>
      <c r="M4" s="18" t="s">
        <v>4</v>
      </c>
      <c r="N4" s="18" t="s">
        <v>28</v>
      </c>
    </row>
    <row r="5" spans="1:14" x14ac:dyDescent="0.25">
      <c r="A5" s="1">
        <v>1</v>
      </c>
      <c r="B5" s="1">
        <v>1</v>
      </c>
      <c r="C5" s="1">
        <v>1</v>
      </c>
      <c r="D5" s="1">
        <v>2</v>
      </c>
      <c r="E5" s="1">
        <v>1</v>
      </c>
      <c r="F5" s="1">
        <v>1</v>
      </c>
      <c r="G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</row>
    <row r="6" spans="1:14" x14ac:dyDescent="0.25">
      <c r="A6" s="1">
        <v>1</v>
      </c>
      <c r="B6" s="1">
        <v>1</v>
      </c>
      <c r="C6" s="1"/>
      <c r="D6" s="1"/>
      <c r="E6" s="1">
        <v>1</v>
      </c>
      <c r="G6" s="1">
        <v>1</v>
      </c>
      <c r="J6" s="1">
        <v>1</v>
      </c>
      <c r="K6" s="1">
        <v>1</v>
      </c>
      <c r="L6" s="1">
        <v>1</v>
      </c>
      <c r="N6" s="1">
        <v>1</v>
      </c>
    </row>
    <row r="7" spans="1:14" x14ac:dyDescent="0.25">
      <c r="A7" s="1">
        <v>1</v>
      </c>
      <c r="B7" s="1">
        <v>1</v>
      </c>
      <c r="C7" s="1"/>
      <c r="D7" s="1"/>
      <c r="E7" s="1">
        <v>1</v>
      </c>
      <c r="G7" s="1">
        <v>1</v>
      </c>
      <c r="J7" s="1">
        <v>1</v>
      </c>
      <c r="K7" s="1">
        <v>1</v>
      </c>
      <c r="L7" s="1">
        <v>1</v>
      </c>
      <c r="N7" s="1">
        <v>1</v>
      </c>
    </row>
    <row r="8" spans="1:14" x14ac:dyDescent="0.25">
      <c r="A8" s="1">
        <v>1</v>
      </c>
      <c r="B8" s="1">
        <v>1</v>
      </c>
      <c r="C8" s="1"/>
      <c r="D8" s="1"/>
      <c r="E8" s="1">
        <v>1</v>
      </c>
      <c r="J8" s="1">
        <v>1</v>
      </c>
      <c r="N8" s="1">
        <v>1</v>
      </c>
    </row>
    <row r="9" spans="1:14" x14ac:dyDescent="0.25">
      <c r="A9" s="1">
        <v>1</v>
      </c>
      <c r="B9" s="1">
        <v>1</v>
      </c>
      <c r="C9" s="1"/>
      <c r="D9" s="1"/>
      <c r="E9" s="1">
        <v>1</v>
      </c>
      <c r="J9" s="1">
        <v>1</v>
      </c>
      <c r="N9" s="1">
        <v>1</v>
      </c>
    </row>
    <row r="10" spans="1:14" x14ac:dyDescent="0.25">
      <c r="A10" s="1"/>
      <c r="B10" s="1"/>
      <c r="C10" s="1"/>
      <c r="D10" s="1"/>
      <c r="E10" s="1">
        <v>1</v>
      </c>
    </row>
    <row r="11" spans="1:14" x14ac:dyDescent="0.25">
      <c r="A11" s="1"/>
      <c r="B11" s="1"/>
      <c r="C11" s="1"/>
      <c r="D11" s="1"/>
      <c r="E11" s="1">
        <v>1</v>
      </c>
    </row>
    <row r="12" spans="1:14" x14ac:dyDescent="0.25">
      <c r="A12" s="1"/>
      <c r="B12" s="1"/>
      <c r="C12" s="1"/>
      <c r="D12" s="1"/>
    </row>
    <row r="13" spans="1:14" x14ac:dyDescent="0.25">
      <c r="A13" s="1"/>
      <c r="B13" s="1"/>
      <c r="C13" s="1"/>
      <c r="D13" s="1"/>
    </row>
    <row r="14" spans="1:14" x14ac:dyDescent="0.25">
      <c r="A14" s="1">
        <f>SUM(A5:A13)</f>
        <v>5</v>
      </c>
      <c r="B14" s="1"/>
      <c r="C14" s="1"/>
      <c r="D14" s="1"/>
      <c r="E14" s="1">
        <f>SUM(E5:E13)</f>
        <v>7</v>
      </c>
      <c r="H14" s="1">
        <f>SUM(H5:H13)</f>
        <v>0</v>
      </c>
      <c r="I14" s="1">
        <f>SUM(I5:I13)</f>
        <v>1</v>
      </c>
      <c r="J14" s="1">
        <f>SUM(J5:J13)</f>
        <v>5</v>
      </c>
      <c r="L14" s="1">
        <f>SUM(L5:L13)</f>
        <v>3</v>
      </c>
      <c r="M14" s="1">
        <f>SUM(M5:M13)</f>
        <v>1</v>
      </c>
      <c r="N14" s="1">
        <f t="shared" ref="N14" si="0">SUM(N5:N13)</f>
        <v>5</v>
      </c>
    </row>
    <row r="18" spans="5:41" x14ac:dyDescent="0.25">
      <c r="F18" s="17" t="s">
        <v>37</v>
      </c>
    </row>
    <row r="19" spans="5:41" x14ac:dyDescent="0.25">
      <c r="E19" s="1" t="s">
        <v>38</v>
      </c>
      <c r="F19" s="1">
        <v>1</v>
      </c>
      <c r="G19" s="1">
        <v>1</v>
      </c>
      <c r="H19" s="1">
        <v>1</v>
      </c>
    </row>
    <row r="20" spans="5:41" x14ac:dyDescent="0.25">
      <c r="E20" s="1">
        <v>97</v>
      </c>
    </row>
    <row r="21" spans="5:41" x14ac:dyDescent="0.25">
      <c r="E21" s="1">
        <v>98</v>
      </c>
      <c r="F21" s="1">
        <v>1</v>
      </c>
      <c r="G21" s="1">
        <v>1</v>
      </c>
      <c r="H21" s="1">
        <v>1</v>
      </c>
      <c r="I21" s="1">
        <v>1</v>
      </c>
    </row>
    <row r="22" spans="5:41" x14ac:dyDescent="0.25">
      <c r="E22" s="1">
        <v>208</v>
      </c>
      <c r="F22" s="1">
        <v>1</v>
      </c>
      <c r="G22" s="1">
        <v>1</v>
      </c>
      <c r="I22" s="1">
        <v>1</v>
      </c>
      <c r="J22" s="1">
        <v>1</v>
      </c>
      <c r="L22" s="1">
        <v>1</v>
      </c>
    </row>
    <row r="23" spans="5:41" x14ac:dyDescent="0.25">
      <c r="H23" s="1" t="s">
        <v>29</v>
      </c>
    </row>
    <row r="24" spans="5:41" x14ac:dyDescent="0.25">
      <c r="E24" s="1">
        <v>97</v>
      </c>
    </row>
    <row r="25" spans="5:41" x14ac:dyDescent="0.25">
      <c r="E25" s="1">
        <v>98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H25" s="1"/>
      <c r="AI25" s="1"/>
      <c r="AJ25" s="1"/>
      <c r="AK25" s="1"/>
      <c r="AM25" s="1"/>
    </row>
    <row r="26" spans="5:41" x14ac:dyDescent="0.25">
      <c r="E26" s="1">
        <v>208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AC26" s="1"/>
      <c r="AD26" s="1"/>
      <c r="AE26" s="1"/>
    </row>
    <row r="27" spans="5:41" x14ac:dyDescent="0.25">
      <c r="E27" s="1" t="s">
        <v>33</v>
      </c>
      <c r="F27" s="1">
        <v>1</v>
      </c>
      <c r="G27" s="1">
        <v>1</v>
      </c>
    </row>
    <row r="29" spans="5:41" x14ac:dyDescent="0.25">
      <c r="E29" s="11" t="s">
        <v>1</v>
      </c>
      <c r="F29" s="11"/>
      <c r="G29" s="11"/>
      <c r="H29" s="11" t="s">
        <v>2</v>
      </c>
      <c r="I29" s="11"/>
      <c r="J29" s="11" t="s">
        <v>17</v>
      </c>
      <c r="K29" s="11"/>
      <c r="L29" s="11" t="s">
        <v>18</v>
      </c>
      <c r="M29" s="11" t="s">
        <v>19</v>
      </c>
      <c r="N29" s="11"/>
      <c r="O29" s="11"/>
      <c r="T29"/>
      <c r="Y29"/>
      <c r="AA29" s="11"/>
      <c r="AB29" s="11"/>
      <c r="AG29"/>
      <c r="AL29"/>
      <c r="AN29" s="11"/>
      <c r="AO29" s="11"/>
    </row>
    <row r="30" spans="5:41" x14ac:dyDescent="0.25">
      <c r="E30" s="2">
        <f>36+30+33+31+21+26+26+26+24+24+23+30+13+9+10+10+8+9+9+2+1+6+3+5+3+4+2+4+1+4+1+1+1+1+2</f>
        <v>439</v>
      </c>
      <c r="F30" s="2"/>
      <c r="G30" s="2"/>
      <c r="H30" s="2">
        <f>8+8+3+7+1+9+4+6+18+15+5+1+7+1+4+1</f>
        <v>98</v>
      </c>
      <c r="I30" s="2"/>
      <c r="J30" s="2">
        <f>1+3+1+2+2+1+2+2+3+1+1+1</f>
        <v>20</v>
      </c>
      <c r="K30" s="2"/>
      <c r="L30" s="2">
        <f>3+1+1+1+2+3+1+1+1+1+1</f>
        <v>16</v>
      </c>
      <c r="M30" s="2">
        <f>1+2+1+1+8+1+3+4+3+1+2+1+1+2+3</f>
        <v>34</v>
      </c>
      <c r="N30" s="2"/>
      <c r="O30" s="2"/>
      <c r="T30"/>
      <c r="Y30"/>
      <c r="AA30" s="2"/>
      <c r="AB30" s="2"/>
      <c r="AG30"/>
      <c r="AL30"/>
      <c r="AN30" s="2"/>
      <c r="AO30" s="2"/>
    </row>
    <row r="31" spans="5:41" x14ac:dyDescent="0.25">
      <c r="T31"/>
      <c r="Y31"/>
      <c r="AG31"/>
      <c r="AL31"/>
    </row>
    <row r="32" spans="5:41" x14ac:dyDescent="0.25">
      <c r="E32" s="11" t="s">
        <v>21</v>
      </c>
      <c r="F32" s="11"/>
      <c r="G32" s="11"/>
      <c r="H32" s="11" t="s">
        <v>22</v>
      </c>
      <c r="I32" s="11"/>
      <c r="J32" s="11" t="s">
        <v>23</v>
      </c>
      <c r="K32" s="11"/>
      <c r="L32" s="11" t="s">
        <v>24</v>
      </c>
      <c r="M32" s="11" t="s">
        <v>25</v>
      </c>
      <c r="N32" s="14"/>
      <c r="O32" s="14"/>
      <c r="T32"/>
      <c r="Y32"/>
      <c r="AA32" s="14"/>
      <c r="AB32" s="14"/>
      <c r="AG32"/>
      <c r="AL32"/>
      <c r="AN32" s="14"/>
      <c r="AO32" s="14"/>
    </row>
    <row r="33" spans="5:38" x14ac:dyDescent="0.25">
      <c r="E33" s="2">
        <f>2+1+1+1+2+1+1+1+1+1</f>
        <v>12</v>
      </c>
      <c r="F33" s="2"/>
      <c r="G33" s="2"/>
      <c r="H33" s="2">
        <f>7+3+2+1</f>
        <v>13</v>
      </c>
      <c r="I33" s="2"/>
      <c r="J33" s="2">
        <f>1+1+1+1+2+1+1+1</f>
        <v>9</v>
      </c>
      <c r="K33" s="2"/>
      <c r="L33" s="2">
        <v>5</v>
      </c>
      <c r="M33" s="2">
        <v>1</v>
      </c>
      <c r="T33"/>
      <c r="Y33"/>
      <c r="AG33"/>
      <c r="AL33"/>
    </row>
    <row r="34" spans="5:38" x14ac:dyDescent="0.25">
      <c r="T34"/>
      <c r="Y34"/>
      <c r="AG34"/>
      <c r="AL34"/>
    </row>
    <row r="35" spans="5:38" x14ac:dyDescent="0.25">
      <c r="E35" s="13" t="s">
        <v>1</v>
      </c>
      <c r="F35" s="13"/>
      <c r="G35" s="13"/>
      <c r="H35" s="13" t="s">
        <v>2</v>
      </c>
      <c r="I35" s="13"/>
      <c r="J35" s="13" t="s">
        <v>3</v>
      </c>
      <c r="K35" s="13"/>
      <c r="L35" s="13" t="s">
        <v>4</v>
      </c>
    </row>
    <row r="36" spans="5:38" x14ac:dyDescent="0.25">
      <c r="E36" s="2">
        <f>36+30+33+31+21+26+26+26+24+24+23+30+13+9+10+10+8+9+9+2+1+6+3+5+3+4+2+4+1+4+1+1+1+1+2</f>
        <v>439</v>
      </c>
      <c r="F36" s="2"/>
      <c r="G36" s="2"/>
      <c r="H36" s="2">
        <f>8+8+3+7+1+9+4+6+18+15+5+1+7+1+4+1</f>
        <v>98</v>
      </c>
      <c r="I36" s="2"/>
      <c r="J36" s="2">
        <f>J30+L30+M30+E33+H33</f>
        <v>95</v>
      </c>
      <c r="K36" s="2"/>
      <c r="L36" s="2" t="e">
        <f>#REF!+J33+L33+M33</f>
        <v>#REF!</v>
      </c>
    </row>
  </sheetData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Hoja1 (2)</vt:lpstr>
      <vt:lpstr>090426</vt:lpstr>
      <vt:lpstr>020926</vt:lpstr>
      <vt:lpstr>'020926'!Área_de_impresión</vt:lpstr>
      <vt:lpstr>'090426'!Área_de_impresión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Proteccion civil</cp:lastModifiedBy>
  <cp:lastPrinted>2026-04-10T04:35:33Z</cp:lastPrinted>
  <dcterms:created xsi:type="dcterms:W3CDTF">2026-04-09T04:07:07Z</dcterms:created>
  <dcterms:modified xsi:type="dcterms:W3CDTF">2026-09-03T21:43:07Z</dcterms:modified>
</cp:coreProperties>
</file>